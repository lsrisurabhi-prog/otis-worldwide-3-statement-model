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040" windowHeight="8556"/>
  </bookViews>
  <sheets>
    <sheet name="Sheet1" sheetId="1" r:id="rId1"/>
    <sheet name="Sheet2" sheetId="2" r:id="rId2"/>
  </sheets>
  <externalReferences>
    <externalReference r:id="rId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0" i="1"/>
  <c r="I140"/>
  <c r="H140"/>
  <c r="G140"/>
  <c r="F140"/>
  <c r="E140"/>
  <c r="D140"/>
  <c r="J138"/>
  <c r="I138"/>
  <c r="H138"/>
  <c r="G138"/>
  <c r="F138"/>
  <c r="E138"/>
  <c r="D138"/>
  <c r="C138"/>
  <c r="J136"/>
  <c r="I136"/>
  <c r="H136"/>
  <c r="G136"/>
  <c r="F136"/>
  <c r="E136"/>
  <c r="D136"/>
  <c r="C136"/>
  <c r="J134"/>
  <c r="I134"/>
  <c r="H134"/>
  <c r="G134"/>
  <c r="F134"/>
  <c r="E134"/>
  <c r="D134"/>
  <c r="C134"/>
  <c r="J133"/>
  <c r="I133"/>
  <c r="H133"/>
  <c r="G133"/>
  <c r="F133"/>
  <c r="E133"/>
  <c r="D133"/>
  <c r="C133"/>
  <c r="J132"/>
  <c r="I132"/>
  <c r="H132"/>
  <c r="G132"/>
  <c r="F132"/>
  <c r="E132"/>
  <c r="D132"/>
  <c r="C132"/>
  <c r="J131"/>
  <c r="I131"/>
  <c r="H131"/>
  <c r="G131"/>
  <c r="F131"/>
  <c r="E131"/>
  <c r="D131"/>
  <c r="C131"/>
  <c r="J130"/>
  <c r="I130"/>
  <c r="H130"/>
  <c r="G130"/>
  <c r="F130"/>
  <c r="E130"/>
  <c r="D130"/>
  <c r="C130"/>
  <c r="J129"/>
  <c r="I129"/>
  <c r="H129"/>
  <c r="G129"/>
  <c r="F129"/>
  <c r="E129"/>
  <c r="D129"/>
  <c r="C129"/>
  <c r="J126"/>
  <c r="I126"/>
  <c r="H126"/>
  <c r="G126"/>
  <c r="F126"/>
  <c r="E126"/>
  <c r="D126"/>
  <c r="C126"/>
  <c r="J125"/>
  <c r="I125"/>
  <c r="H125"/>
  <c r="G125"/>
  <c r="F125"/>
  <c r="E125"/>
  <c r="D125"/>
  <c r="C125"/>
  <c r="J124"/>
  <c r="I124"/>
  <c r="H124"/>
  <c r="G124"/>
  <c r="F124"/>
  <c r="E124"/>
  <c r="D124"/>
  <c r="C124"/>
  <c r="J121"/>
  <c r="I121"/>
  <c r="H121"/>
  <c r="G121"/>
  <c r="F121"/>
  <c r="E121"/>
  <c r="D121"/>
  <c r="C121"/>
  <c r="J120"/>
  <c r="I120"/>
  <c r="H120"/>
  <c r="G120"/>
  <c r="F120"/>
  <c r="E120"/>
  <c r="D120"/>
  <c r="C120"/>
  <c r="J119"/>
  <c r="I119"/>
  <c r="H119"/>
  <c r="G119"/>
  <c r="F119"/>
  <c r="E119"/>
  <c r="D119"/>
  <c r="C119"/>
  <c r="J118"/>
  <c r="I118"/>
  <c r="H118"/>
  <c r="G118"/>
  <c r="F118"/>
  <c r="E118"/>
  <c r="D118"/>
  <c r="C118"/>
  <c r="J117"/>
  <c r="I117"/>
  <c r="H117"/>
  <c r="G117"/>
  <c r="F117"/>
  <c r="E117"/>
  <c r="D117"/>
  <c r="C117"/>
  <c r="J116"/>
  <c r="I116"/>
  <c r="H116"/>
  <c r="G116"/>
  <c r="F116"/>
  <c r="E116"/>
  <c r="D116"/>
  <c r="C116"/>
  <c r="J114"/>
  <c r="I114"/>
  <c r="H114"/>
  <c r="G114"/>
  <c r="F114"/>
  <c r="E114"/>
  <c r="D114"/>
  <c r="J112"/>
  <c r="I112"/>
  <c r="H112"/>
  <c r="G112"/>
  <c r="F112"/>
  <c r="E112"/>
  <c r="D112"/>
  <c r="J110"/>
  <c r="I110"/>
  <c r="H110"/>
  <c r="G110"/>
  <c r="F110"/>
  <c r="E110"/>
  <c r="D110"/>
  <c r="J108"/>
  <c r="I108"/>
  <c r="H108"/>
  <c r="G108"/>
  <c r="F108"/>
  <c r="E108"/>
  <c r="D108"/>
  <c r="J107"/>
  <c r="I107"/>
  <c r="H107"/>
  <c r="G107"/>
  <c r="F107"/>
  <c r="E107"/>
  <c r="D107"/>
  <c r="J106"/>
  <c r="I106"/>
  <c r="H106"/>
  <c r="G106"/>
  <c r="F106"/>
  <c r="E106"/>
  <c r="D106"/>
  <c r="J104"/>
  <c r="I104"/>
  <c r="H104"/>
  <c r="G104"/>
  <c r="F104"/>
  <c r="E104"/>
  <c r="D104"/>
  <c r="J103"/>
  <c r="I103"/>
  <c r="H103"/>
  <c r="G103"/>
  <c r="F103"/>
  <c r="E103"/>
  <c r="D103"/>
  <c r="J102"/>
  <c r="I102"/>
  <c r="H102"/>
  <c r="G102"/>
  <c r="F102"/>
  <c r="E102"/>
  <c r="D102"/>
  <c r="J101"/>
  <c r="I101"/>
  <c r="H101"/>
  <c r="G101"/>
  <c r="F101"/>
  <c r="E101"/>
  <c r="D101"/>
  <c r="J100"/>
  <c r="I100"/>
  <c r="H100"/>
  <c r="G100"/>
  <c r="F100"/>
  <c r="E100"/>
  <c r="D100"/>
  <c r="J99"/>
  <c r="I99"/>
  <c r="H99"/>
  <c r="G99"/>
  <c r="F99"/>
  <c r="E99"/>
  <c r="D99"/>
  <c r="J98"/>
  <c r="I98"/>
  <c r="H98"/>
  <c r="G98"/>
  <c r="F98"/>
  <c r="E98"/>
  <c r="D98"/>
  <c r="J95"/>
  <c r="I95"/>
  <c r="H95"/>
  <c r="G95"/>
  <c r="F95"/>
  <c r="E95"/>
  <c r="D95"/>
  <c r="J94"/>
  <c r="I94"/>
  <c r="H94"/>
  <c r="G94"/>
  <c r="F94"/>
  <c r="E94"/>
  <c r="D94"/>
  <c r="J93"/>
  <c r="I93"/>
  <c r="H93"/>
  <c r="G93"/>
  <c r="F93"/>
  <c r="E93"/>
  <c r="D93"/>
  <c r="J92"/>
  <c r="I92"/>
  <c r="H92"/>
  <c r="G92"/>
  <c r="F92"/>
  <c r="E92"/>
  <c r="D92"/>
  <c r="J91"/>
  <c r="I91"/>
  <c r="H91"/>
  <c r="G91"/>
  <c r="F91"/>
  <c r="E91"/>
  <c r="D91"/>
  <c r="J90"/>
  <c r="I90"/>
  <c r="H90"/>
  <c r="G90"/>
  <c r="F90"/>
  <c r="E90"/>
  <c r="D90"/>
  <c r="J89"/>
  <c r="I89"/>
  <c r="H89"/>
  <c r="G89"/>
  <c r="F89"/>
  <c r="E89"/>
  <c r="D89"/>
  <c r="J86"/>
  <c r="I86"/>
  <c r="H86"/>
  <c r="G86"/>
  <c r="F86"/>
  <c r="E86"/>
  <c r="D86"/>
  <c r="J84"/>
  <c r="I84"/>
  <c r="H84"/>
  <c r="G84"/>
  <c r="F84"/>
  <c r="E84"/>
  <c r="D84"/>
  <c r="C84"/>
  <c r="J83"/>
  <c r="I83"/>
  <c r="H83"/>
  <c r="G83"/>
  <c r="F83"/>
  <c r="E83"/>
  <c r="D83"/>
  <c r="C83"/>
  <c r="J82"/>
  <c r="I82"/>
  <c r="H82"/>
  <c r="G82"/>
  <c r="F82"/>
  <c r="E82"/>
  <c r="D82"/>
  <c r="C82"/>
  <c r="J80"/>
  <c r="I80"/>
  <c r="H80"/>
  <c r="G80"/>
  <c r="F80"/>
  <c r="E80"/>
  <c r="D80"/>
  <c r="C80"/>
  <c r="J78"/>
  <c r="I78"/>
  <c r="H78"/>
  <c r="G78"/>
  <c r="F78"/>
  <c r="E78"/>
  <c r="D78"/>
  <c r="C78"/>
  <c r="J77"/>
  <c r="I77"/>
  <c r="H77"/>
  <c r="G77"/>
  <c r="F77"/>
  <c r="E77"/>
  <c r="D77"/>
  <c r="C77"/>
  <c r="J76"/>
  <c r="I76"/>
  <c r="H76"/>
  <c r="G76"/>
  <c r="F76"/>
  <c r="E76"/>
  <c r="D76"/>
  <c r="C76"/>
  <c r="J75"/>
  <c r="I75"/>
  <c r="H75"/>
  <c r="G75"/>
  <c r="F75"/>
  <c r="E75"/>
  <c r="D75"/>
  <c r="C75"/>
  <c r="J73"/>
  <c r="I73"/>
  <c r="H73"/>
  <c r="G73"/>
  <c r="F73"/>
  <c r="E73"/>
  <c r="D73"/>
  <c r="C73"/>
  <c r="J72"/>
  <c r="I72"/>
  <c r="H72"/>
  <c r="G72"/>
  <c r="F72"/>
  <c r="E72"/>
  <c r="D72"/>
  <c r="C72"/>
  <c r="J71"/>
  <c r="I71"/>
  <c r="H71"/>
  <c r="G71"/>
  <c r="F71"/>
  <c r="E71"/>
  <c r="D71"/>
  <c r="C71"/>
  <c r="J70"/>
  <c r="I70"/>
  <c r="H70"/>
  <c r="G70"/>
  <c r="F70"/>
  <c r="E70"/>
  <c r="D70"/>
  <c r="C70"/>
  <c r="J68"/>
  <c r="I68"/>
  <c r="H68"/>
  <c r="G68"/>
  <c r="F68"/>
  <c r="E68"/>
  <c r="D68"/>
  <c r="C68"/>
  <c r="J67"/>
  <c r="I67"/>
  <c r="H67"/>
  <c r="G67"/>
  <c r="F67"/>
  <c r="E67"/>
  <c r="D67"/>
  <c r="C67"/>
  <c r="J66"/>
  <c r="I66"/>
  <c r="H66"/>
  <c r="G66"/>
  <c r="F66"/>
  <c r="E66"/>
  <c r="D66"/>
  <c r="C66"/>
  <c r="J64"/>
  <c r="I64"/>
  <c r="H64"/>
  <c r="G64"/>
  <c r="F64"/>
  <c r="E64"/>
  <c r="D64"/>
  <c r="J62"/>
  <c r="I62"/>
  <c r="H62"/>
  <c r="G62"/>
  <c r="F62"/>
  <c r="E62"/>
  <c r="D62"/>
  <c r="C62"/>
  <c r="E61"/>
  <c r="J59"/>
  <c r="I59"/>
  <c r="H59"/>
  <c r="G59"/>
  <c r="F59"/>
  <c r="E59"/>
  <c r="D59"/>
  <c r="C59"/>
  <c r="J58"/>
  <c r="I58"/>
  <c r="H58"/>
  <c r="G58"/>
  <c r="F58"/>
  <c r="E57"/>
  <c r="D57"/>
  <c r="C57"/>
  <c r="J56"/>
  <c r="I56"/>
  <c r="H56"/>
  <c r="G56"/>
  <c r="F56"/>
  <c r="E54"/>
  <c r="D54"/>
  <c r="J50"/>
  <c r="I50"/>
  <c r="H50"/>
  <c r="G50"/>
  <c r="F50"/>
  <c r="E47"/>
  <c r="D47"/>
  <c r="C47"/>
  <c r="J45"/>
  <c r="I45"/>
  <c r="H45"/>
  <c r="G45"/>
  <c r="F45"/>
  <c r="E45"/>
  <c r="D45"/>
  <c r="C45"/>
  <c r="J44"/>
  <c r="I44"/>
  <c r="H44"/>
  <c r="G44"/>
  <c r="F44"/>
  <c r="E44"/>
  <c r="D44"/>
  <c r="C44"/>
  <c r="J43"/>
  <c r="I43"/>
  <c r="H43"/>
  <c r="G43"/>
  <c r="F43"/>
  <c r="E43"/>
  <c r="D43"/>
  <c r="C43"/>
  <c r="J41"/>
  <c r="I41"/>
  <c r="H41"/>
  <c r="G41"/>
  <c r="F41"/>
  <c r="E41"/>
  <c r="D41"/>
  <c r="J40"/>
  <c r="I40"/>
  <c r="H40"/>
  <c r="G40"/>
  <c r="F40"/>
  <c r="E40"/>
  <c r="D40"/>
  <c r="J39"/>
  <c r="I39"/>
  <c r="H39"/>
  <c r="G39"/>
  <c r="F39"/>
  <c r="E39"/>
  <c r="D39"/>
  <c r="J38"/>
  <c r="I38"/>
  <c r="H38"/>
  <c r="G38"/>
  <c r="F38"/>
  <c r="E38"/>
  <c r="D38"/>
  <c r="J36"/>
  <c r="I36"/>
  <c r="H36"/>
  <c r="G36"/>
  <c r="F36"/>
  <c r="E36"/>
  <c r="D36"/>
  <c r="J35"/>
  <c r="I35"/>
  <c r="H35"/>
  <c r="G35"/>
  <c r="F35"/>
  <c r="E35"/>
  <c r="D35"/>
  <c r="J34"/>
  <c r="I34"/>
  <c r="H34"/>
  <c r="G34"/>
  <c r="F34"/>
  <c r="E34"/>
  <c r="D34"/>
  <c r="J32"/>
  <c r="I32"/>
  <c r="H32"/>
  <c r="G32"/>
  <c r="F32"/>
  <c r="E32"/>
  <c r="D32"/>
  <c r="C32"/>
  <c r="J31"/>
  <c r="I31"/>
  <c r="H31"/>
  <c r="G31"/>
  <c r="F31"/>
  <c r="E31"/>
  <c r="D31"/>
  <c r="C31"/>
  <c r="J29"/>
  <c r="I29"/>
  <c r="H29"/>
  <c r="G29"/>
  <c r="F29"/>
  <c r="E29"/>
  <c r="D29"/>
  <c r="C29"/>
  <c r="J28"/>
  <c r="I28"/>
  <c r="H28"/>
  <c r="G28"/>
  <c r="F28"/>
  <c r="E28"/>
  <c r="D28"/>
  <c r="C28"/>
  <c r="J27"/>
  <c r="I27"/>
  <c r="H27"/>
  <c r="G27"/>
  <c r="F27"/>
  <c r="E27"/>
  <c r="D27"/>
  <c r="C27"/>
  <c r="E25"/>
  <c r="D25"/>
  <c r="J24"/>
  <c r="I24"/>
  <c r="H24"/>
  <c r="G24"/>
  <c r="F24"/>
  <c r="E24"/>
  <c r="D24"/>
  <c r="C24"/>
  <c r="E22"/>
  <c r="D22"/>
  <c r="J21"/>
  <c r="I21"/>
  <c r="H21"/>
  <c r="G21"/>
  <c r="F21"/>
  <c r="E17"/>
  <c r="D17"/>
  <c r="J16"/>
  <c r="I16"/>
  <c r="H16"/>
  <c r="G16"/>
  <c r="F16"/>
  <c r="E16"/>
  <c r="D16"/>
  <c r="C16"/>
  <c r="J14"/>
  <c r="I14"/>
  <c r="H14"/>
  <c r="G14"/>
  <c r="F14"/>
  <c r="E14"/>
  <c r="D14"/>
</calcChain>
</file>

<file path=xl/sharedStrings.xml><?xml version="1.0" encoding="utf-8"?>
<sst xmlns="http://schemas.openxmlformats.org/spreadsheetml/2006/main" count="105" uniqueCount="96">
  <si>
    <t>Circuit Switch:</t>
  </si>
  <si>
    <t>ON</t>
  </si>
  <si>
    <t>Operating Scenario:</t>
  </si>
  <si>
    <t>Target Price:</t>
  </si>
  <si>
    <t>Otis Worldwide Corporation - Assumptions and Drivers</t>
  </si>
  <si>
    <t>($ in Billions Except Per Share and Per Unit Data)</t>
  </si>
  <si>
    <t>Drivers:</t>
  </si>
  <si>
    <t>Historical Results</t>
  </si>
  <si>
    <t>Forecast Period</t>
  </si>
  <si>
    <t>New Equipment Market Size:</t>
  </si>
  <si>
    <t>Growth Rate:</t>
  </si>
  <si>
    <t>Service Units (Maintenance):</t>
  </si>
  <si>
    <t>Revenue per Service Unit:</t>
  </si>
  <si>
    <t>Product - COGS % Revenue:</t>
  </si>
  <si>
    <t>Service - COGS % Revenue:</t>
  </si>
  <si>
    <t>OpEx % Revenue:</t>
  </si>
  <si>
    <t>Tax Rate:</t>
  </si>
  <si>
    <t>NCI Net Income % Total:</t>
  </si>
  <si>
    <t>Accounts Receivable % Revenue:</t>
  </si>
  <si>
    <t>Inventory &amp; Other % COGS:</t>
  </si>
  <si>
    <t>Op. Lease Asssets % OpEx:</t>
  </si>
  <si>
    <t>Accounts Payable % COGS:</t>
  </si>
  <si>
    <t>Accrued Liabilities % Total Expenses:</t>
  </si>
  <si>
    <t>Contract Liabilities % Total Expenses:</t>
  </si>
  <si>
    <t>Other Liabilities % Total Expenses:</t>
  </si>
  <si>
    <t>CapEx % Revenue:</t>
  </si>
  <si>
    <t>D&amp;A % Revenue:</t>
  </si>
  <si>
    <t>Pension/Other Items % Revenue:</t>
  </si>
  <si>
    <t>(-) Acquisitions &amp; Other:</t>
  </si>
  <si>
    <t>Minimum Cash:</t>
  </si>
  <si>
    <t>Excess Cash Flow:</t>
  </si>
  <si>
    <t>% Stock Repurchases:</t>
  </si>
  <si>
    <t>% Debt Repayment:</t>
  </si>
  <si>
    <t>Interest Expense % Debt:</t>
  </si>
  <si>
    <t>Change in Debt:</t>
  </si>
  <si>
    <t>Dividends % Net Income:</t>
  </si>
  <si>
    <t>Stock Repurchases:</t>
  </si>
  <si>
    <t>NCI Dividends % NCI Net Income:</t>
  </si>
  <si>
    <t>Other Items % Debt Issuances:</t>
  </si>
  <si>
    <t>FX Rate Effects % Revenue:</t>
  </si>
  <si>
    <t>Income Statement:</t>
  </si>
  <si>
    <t>Products:</t>
  </si>
  <si>
    <t>Services:</t>
  </si>
  <si>
    <t>Total Revenue:</t>
  </si>
  <si>
    <t>Cost of products:</t>
  </si>
  <si>
    <t>Cost of services:</t>
  </si>
  <si>
    <t>Operating Expenses:</t>
  </si>
  <si>
    <t>Operating Income:</t>
  </si>
  <si>
    <t>Other Income/(Expense):</t>
  </si>
  <si>
    <t>Non-service Pension Expense:</t>
  </si>
  <si>
    <t>Interest Income/(Expense):</t>
  </si>
  <si>
    <t>Pre-Tax Income:</t>
  </si>
  <si>
    <t>Income Taxes:</t>
  </si>
  <si>
    <t>Net Income:</t>
  </si>
  <si>
    <t>(-) NCI Net Income:</t>
  </si>
  <si>
    <t>Net Income to Parent:</t>
  </si>
  <si>
    <t>Balance sheet:</t>
  </si>
  <si>
    <t>ASSETS:</t>
  </si>
  <si>
    <t>Cash:</t>
  </si>
  <si>
    <t>Accounts Receivable:</t>
  </si>
  <si>
    <t>Inventory &amp; Other:</t>
  </si>
  <si>
    <t xml:space="preserve">Net PP&amp;E, Goodwill and Intangibles: </t>
  </si>
  <si>
    <t>Op. Lease Asssets:</t>
  </si>
  <si>
    <t>Other Assets:</t>
  </si>
  <si>
    <t>Total Assets:</t>
  </si>
  <si>
    <t>LIABILITIES AND EQUITY:</t>
  </si>
  <si>
    <t>Accounts Payable:</t>
  </si>
  <si>
    <t>Accrued Liabilities:</t>
  </si>
  <si>
    <t>Contract Liabilities:</t>
  </si>
  <si>
    <t>Total Debt:</t>
  </si>
  <si>
    <t>Op. Lease Liabilities:</t>
  </si>
  <si>
    <t>Other Liabilities</t>
  </si>
  <si>
    <t>Total Liabilities:</t>
  </si>
  <si>
    <t>Common Shareholder's Equity:</t>
  </si>
  <si>
    <t>Noncontrolling Interests:</t>
  </si>
  <si>
    <t>Total Equity:</t>
  </si>
  <si>
    <t>TOTAL LIABILITIES +  EQUITY:</t>
  </si>
  <si>
    <t>Balance Check:</t>
  </si>
  <si>
    <t>Cash Flow Statement:</t>
  </si>
  <si>
    <t>Cash Flow From Operations:</t>
  </si>
  <si>
    <t>(+/-) Reversal of NCI Net Income:</t>
  </si>
  <si>
    <t>(+) D&amp;A:</t>
  </si>
  <si>
    <t>(+/-) Pension/Other Items:</t>
  </si>
  <si>
    <t>(+/-) Change in wc &amp; Leases:</t>
  </si>
  <si>
    <t xml:space="preserve"> </t>
  </si>
  <si>
    <t>Cash Flow from Investing:</t>
  </si>
  <si>
    <t>(-) CapEx:</t>
  </si>
  <si>
    <t>Cash Flow from Financing:</t>
  </si>
  <si>
    <t>(+/-) Change in Debt:</t>
  </si>
  <si>
    <t>(-) Common Dividends:</t>
  </si>
  <si>
    <t>(-) Stock Repurchases:</t>
  </si>
  <si>
    <t>(-) Dividends to NCI:</t>
  </si>
  <si>
    <t>(+/-) Other Items:</t>
  </si>
  <si>
    <t>FX Rate Effects:</t>
  </si>
  <si>
    <t>Net Change in Cash:</t>
  </si>
  <si>
    <t>Balance Sheet Check: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</si>
</sst>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166" formatCode="&quot;FY&quot;\ yy"/>
    <numFmt numFmtId="167" formatCode="_-[$$-409]* #,##0_ ;_-[$$-409]* \-#,##0\ ;_-[$$-409]* &quot;-&quot;_ ;_-@_ "/>
    <numFmt numFmtId="168" formatCode="0.0%;\(0.0%\)"/>
    <numFmt numFmtId="169" formatCode="0.0%"/>
    <numFmt numFmtId="170" formatCode="#,##0;\(#,##0\);&quot;-&quot;"/>
    <numFmt numFmtId="171" formatCode="_-[$$-475]* #,##0_-;\-[$$-475]* #,##0_-;_-[$$-475]* &quot;-&quot;_-;_-@_-"/>
    <numFmt numFmtId="172" formatCode="_(&quot;$&quot;* #,##0_);_(&quot;$&quot;* \(#,##0\);_(&quot;$&quot;* &quot;-&quot;_);_(@_)\ "/>
  </numFmts>
  <fonts count="12">
    <font>
      <sz val="11"/>
      <color theme="1"/>
      <name val="Aptos Narrow"/>
      <charset val="134"/>
      <scheme val="minor"/>
    </font>
    <font>
      <sz val="12"/>
      <color theme="1"/>
      <name val="Calibri"/>
      <charset val="134"/>
    </font>
    <font>
      <sz val="12"/>
      <color rgb="FF0000FF"/>
      <name val="Calibri"/>
      <charset val="134"/>
    </font>
    <font>
      <b/>
      <sz val="14"/>
      <color theme="1"/>
      <name val="Calibri"/>
      <charset val="134"/>
    </font>
    <font>
      <b/>
      <sz val="12"/>
      <color theme="0"/>
      <name val="Calibri"/>
      <charset val="134"/>
    </font>
    <font>
      <sz val="12"/>
      <color rgb="FF0000E7"/>
      <name val="Calibri"/>
      <charset val="134"/>
    </font>
    <font>
      <b/>
      <sz val="12"/>
      <color theme="1"/>
      <name val="Calibri"/>
      <charset val="134"/>
    </font>
    <font>
      <b/>
      <sz val="12"/>
      <color rgb="FF0000C8"/>
      <name val="Calibri"/>
      <charset val="134"/>
    </font>
    <font>
      <b/>
      <sz val="12"/>
      <color rgb="FF0000E7"/>
      <name val="Calibri"/>
      <charset val="134"/>
    </font>
    <font>
      <sz val="12"/>
      <color rgb="FF0000C8"/>
      <name val="Calibri"/>
      <charset val="134"/>
    </font>
    <font>
      <b/>
      <sz val="12"/>
      <color rgb="FF000000"/>
      <name val="Calibri"/>
      <charset val="134"/>
    </font>
    <font>
      <b/>
      <sz val="11"/>
      <color theme="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66" fontId="1" fillId="0" borderId="0" xfId="0" applyNumberFormat="1" applyFont="1"/>
    <xf numFmtId="0" fontId="1" fillId="0" borderId="0" xfId="0" applyFont="1" applyFill="1"/>
    <xf numFmtId="0" fontId="1" fillId="2" borderId="0" xfId="0" applyFont="1" applyFill="1"/>
    <xf numFmtId="0" fontId="1" fillId="3" borderId="0" xfId="0" applyFont="1" applyFill="1"/>
    <xf numFmtId="166" fontId="1" fillId="3" borderId="0" xfId="0" applyNumberFormat="1" applyFont="1" applyFill="1"/>
    <xf numFmtId="0" fontId="2" fillId="3" borderId="0" xfId="0" applyFont="1" applyFill="1"/>
    <xf numFmtId="166" fontId="1" fillId="0" borderId="0" xfId="0" applyNumberFormat="1" applyFont="1" applyFill="1"/>
    <xf numFmtId="0" fontId="3" fillId="0" borderId="0" xfId="0" applyFont="1"/>
    <xf numFmtId="0" fontId="4" fillId="2" borderId="0" xfId="0" applyFont="1" applyFill="1" applyBorder="1"/>
    <xf numFmtId="166" fontId="4" fillId="2" borderId="2" xfId="0" applyNumberFormat="1" applyFont="1" applyFill="1" applyBorder="1" applyAlignment="1">
      <alignment horizontal="center"/>
    </xf>
    <xf numFmtId="0" fontId="1" fillId="0" borderId="0" xfId="0" applyFont="1" applyBorder="1"/>
    <xf numFmtId="166" fontId="1" fillId="0" borderId="0" xfId="0" applyNumberFormat="1" applyFont="1" applyBorder="1"/>
    <xf numFmtId="167" fontId="1" fillId="0" borderId="0" xfId="0" applyNumberFormat="1" applyFont="1"/>
    <xf numFmtId="0" fontId="1" fillId="0" borderId="0" xfId="0" applyFont="1" applyAlignment="1">
      <alignment horizontal="left" indent="1"/>
    </xf>
    <xf numFmtId="168" fontId="1" fillId="0" borderId="0" xfId="0" applyNumberFormat="1" applyFont="1"/>
    <xf numFmtId="169" fontId="5" fillId="0" borderId="0" xfId="0" applyNumberFormat="1" applyFont="1"/>
    <xf numFmtId="2" fontId="5" fillId="0" borderId="0" xfId="0" applyNumberFormat="1" applyFont="1"/>
    <xf numFmtId="168" fontId="6" fillId="0" borderId="0" xfId="0" applyNumberFormat="1" applyFont="1"/>
    <xf numFmtId="0" fontId="6" fillId="0" borderId="0" xfId="0" applyFont="1"/>
    <xf numFmtId="2" fontId="6" fillId="0" borderId="0" xfId="0" applyNumberFormat="1" applyFont="1" applyAlignment="1"/>
    <xf numFmtId="170" fontId="1" fillId="0" borderId="0" xfId="0" applyNumberFormat="1" applyFont="1"/>
    <xf numFmtId="170" fontId="7" fillId="0" borderId="0" xfId="0" applyNumberFormat="1" applyFont="1"/>
    <xf numFmtId="0" fontId="1" fillId="0" borderId="0" xfId="0" applyFont="1" applyAlignment="1"/>
    <xf numFmtId="169" fontId="8" fillId="0" borderId="0" xfId="0" applyNumberFormat="1" applyFont="1"/>
    <xf numFmtId="169" fontId="9" fillId="0" borderId="0" xfId="0" applyNumberFormat="1" applyFont="1"/>
    <xf numFmtId="166" fontId="4" fillId="2" borderId="3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indent="2"/>
    </xf>
    <xf numFmtId="41" fontId="1" fillId="0" borderId="0" xfId="0" applyNumberFormat="1" applyFont="1"/>
    <xf numFmtId="0" fontId="6" fillId="0" borderId="4" xfId="0" applyFont="1" applyBorder="1"/>
    <xf numFmtId="41" fontId="6" fillId="0" borderId="4" xfId="0" applyNumberFormat="1" applyFont="1" applyBorder="1"/>
    <xf numFmtId="0" fontId="1" fillId="0" borderId="0" xfId="0" applyFont="1" applyAlignment="1">
      <alignment horizontal="left" wrapText="1" indent="2"/>
    </xf>
    <xf numFmtId="170" fontId="6" fillId="0" borderId="4" xfId="0" applyNumberFormat="1" applyFont="1" applyBorder="1"/>
    <xf numFmtId="0" fontId="1" fillId="0" borderId="0" xfId="0" applyNumberFormat="1" applyFont="1"/>
    <xf numFmtId="0" fontId="10" fillId="0" borderId="0" xfId="0" applyFont="1"/>
    <xf numFmtId="170" fontId="6" fillId="0" borderId="0" xfId="0" applyNumberFormat="1" applyFont="1"/>
    <xf numFmtId="0" fontId="10" fillId="0" borderId="5" xfId="0" applyFont="1" applyBorder="1"/>
    <xf numFmtId="171" fontId="6" fillId="0" borderId="5" xfId="0" applyNumberFormat="1" applyFont="1" applyBorder="1"/>
    <xf numFmtId="0" fontId="4" fillId="2" borderId="3" xfId="0" applyFont="1" applyFill="1" applyBorder="1"/>
    <xf numFmtId="167" fontId="1" fillId="0" borderId="0" xfId="0" applyNumberFormat="1" applyFont="1" applyAlignment="1"/>
    <xf numFmtId="3" fontId="1" fillId="0" borderId="0" xfId="0" applyNumberFormat="1" applyFont="1"/>
    <xf numFmtId="0" fontId="6" fillId="0" borderId="5" xfId="0" applyFont="1" applyBorder="1"/>
    <xf numFmtId="0" fontId="1" fillId="0" borderId="5" xfId="0" applyFont="1" applyBorder="1"/>
    <xf numFmtId="167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/>
    <xf numFmtId="170" fontId="1" fillId="0" borderId="0" xfId="0" applyNumberFormat="1" applyFont="1" applyAlignment="1"/>
    <xf numFmtId="172" fontId="6" fillId="0" borderId="5" xfId="0" applyNumberFormat="1" applyFont="1" applyBorder="1" applyAlignment="1"/>
    <xf numFmtId="172" fontId="6" fillId="0" borderId="0" xfId="0" applyNumberFormat="1" applyFont="1"/>
    <xf numFmtId="166" fontId="1" fillId="0" borderId="5" xfId="0" applyNumberFormat="1" applyFont="1" applyBorder="1"/>
    <xf numFmtId="0" fontId="6" fillId="0" borderId="0" xfId="0" applyFont="1" applyAlignment="1">
      <alignment horizontal="left" indent="1"/>
    </xf>
    <xf numFmtId="171" fontId="1" fillId="0" borderId="0" xfId="0" applyNumberFormat="1" applyFont="1"/>
    <xf numFmtId="170" fontId="6" fillId="0" borderId="5" xfId="0" applyNumberFormat="1" applyFont="1" applyBorder="1"/>
    <xf numFmtId="171" fontId="6" fillId="0" borderId="0" xfId="0" applyNumberFormat="1" applyFont="1"/>
    <xf numFmtId="0" fontId="11" fillId="4" borderId="0" xfId="0" applyFont="1" applyFill="1"/>
    <xf numFmtId="0" fontId="0" fillId="4" borderId="0" xfId="0" applyFill="1"/>
    <xf numFmtId="172" fontId="1" fillId="4" borderId="0" xfId="0" applyNumberFormat="1" applyFont="1" applyFill="1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0C0C0"/>
      <color rgb="FF0000FF"/>
      <color rgb="FF061584"/>
      <color rgb="FF009999"/>
      <color rgb="FF003399"/>
      <color rgb="FF0000C8"/>
      <color rgb="FF0000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84666</xdr:colOff>
      <xdr:row>2</xdr:row>
      <xdr:rowOff>143934</xdr:rowOff>
    </xdr:from>
    <xdr:to>
      <xdr:col>1</xdr:col>
      <xdr:colOff>2481672</xdr:colOff>
      <xdr:row>6</xdr:row>
      <xdr:rowOff>135467</xdr:rowOff>
    </xdr:to>
    <xdr:pic>
      <xdr:nvPicPr>
        <xdr:cNvPr id="4" name="Picture 3" descr="downloa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5" y="539750"/>
          <a:ext cx="2397125" cy="784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tis10K-Raw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ecurities registered purs"/>
      <sheetName val="comparison of cumulative t"/>
      <sheetName val="results of operations"/>
      <sheetName val="results of operations-1"/>
      <sheetName val="cost of products and servi"/>
      <sheetName val="cost of products and servi-1"/>
      <sheetName val="gross margin"/>
      <sheetName val="research and development"/>
      <sheetName val="selling general and admini"/>
      <sheetName val="income taxes"/>
      <sheetName val="noncontrolling interest in"/>
      <sheetName val="net income attributable to"/>
      <sheetName val="segment review"/>
      <sheetName val="new equipment"/>
      <sheetName val="new equipment-1"/>
      <sheetName val="service"/>
      <sheetName val="service-1"/>
      <sheetName val="general corporate expenses"/>
      <sheetName val="liquidity and financial co"/>
      <sheetName val="liquidity and financial co-1"/>
      <sheetName val="liquidity and financial co-2"/>
      <sheetName val="cash flow  operating activ"/>
      <sheetName val="2021 compared to 2020"/>
      <sheetName val="germany fire"/>
      <sheetName val="cash flow  financing activ"/>
      <sheetName val="2021 compared to 2020-1"/>
      <sheetName val="2019"/>
      <sheetName val="2019-1"/>
      <sheetName val="longterm debt"/>
      <sheetName val="purchase obligations"/>
      <sheetName val="other longterm liabilities"/>
      <sheetName val="financial statement schedule"/>
      <sheetName val="operations"/>
      <sheetName val="comprehensive income"/>
      <sheetName val="consolidated balance sheets"/>
      <sheetName val="changes in equity"/>
      <sheetName val="cash flows"/>
      <sheetName val="note 3 earnings per share"/>
      <sheetName val="note 4 contract assets and"/>
      <sheetName val="note 4 contract assets and-1"/>
      <sheetName val="note 6 accounts receivable"/>
      <sheetName val="credit losses"/>
      <sheetName val="note 7 inventories net"/>
      <sheetName val="note 8 fixed assets"/>
      <sheetName val="goodwill"/>
      <sheetName val="goodwill-1"/>
      <sheetName val="intangible assets"/>
      <sheetName val="intangible assets-1"/>
      <sheetName val="longterm debt-1"/>
      <sheetName val="longterm debt-2"/>
      <sheetName val="note 11 accrued liabilities"/>
      <sheetName val="note 12 other longterm lia"/>
      <sheetName val="pension plans"/>
      <sheetName val="pension plans-1"/>
      <sheetName val="pension plans-2"/>
      <sheetName val="pension plans-3"/>
      <sheetName val="pension plans-4"/>
      <sheetName val="pension plans-5"/>
      <sheetName val="pension plans-6"/>
      <sheetName val="pension plans-7"/>
      <sheetName val="multiemployer benefit plans"/>
      <sheetName val="stockbased compensation ex"/>
      <sheetName val="stockbased compensation ex-1"/>
      <sheetName val="stockbased compensation ex-2"/>
      <sheetName val="stockbased compensation ex-3"/>
      <sheetName val="note 15 accumulated other"/>
      <sheetName val="income before income taxes"/>
      <sheetName val="provision for income taxes"/>
      <sheetName val="reconciliation of effectiv"/>
      <sheetName val="deferred tax assets and li"/>
      <sheetName val="tax credit and loss carryf"/>
      <sheetName val="unrecognized tax benefits"/>
      <sheetName val="note 17 restructuring costs"/>
      <sheetName val="note 17 restructuring costs-1"/>
      <sheetName val="restructuring actions"/>
      <sheetName val="restructuring actions-1"/>
      <sheetName val="fair value measurements"/>
      <sheetName val="fair value measurements-1"/>
      <sheetName val="valuation techniques"/>
      <sheetName val="valuation techniques-1"/>
      <sheetName val="valuation techniques-2"/>
      <sheetName val="note 20 guarantees"/>
      <sheetName val="leases topic 842"/>
      <sheetName val="leases topic 842-1"/>
      <sheetName val="leases topic 842-2"/>
      <sheetName val="segment information"/>
      <sheetName val="geographic external sales"/>
      <sheetName val="geographic external sales-1"/>
      <sheetName val="note 24 subsequent events"/>
      <sheetName val="part iv"/>
      <sheetName val="part iv-1"/>
      <sheetName val="part iv-2"/>
      <sheetName val="part iv-3"/>
      <sheetName val="part iv-4"/>
      <sheetName val="otis worldwide corp"/>
      <sheetName val="personal  confidential"/>
      <sheetName val="otis worldwide corp-1"/>
      <sheetName val="exhibit 1032"/>
      <sheetName val="exhibit 1032-1"/>
      <sheetName val="exhibit 1032-2"/>
      <sheetName val="exhibit 1032-3"/>
      <sheetName val="exhibit 1032-4"/>
      <sheetName val="exhibit 1032-5"/>
      <sheetName val="employment contract"/>
      <sheetName val="83 applicable law and plac"/>
      <sheetName val="otis worldwide corporation"/>
      <sheetName val="worldwide corporation"/>
      <sheetName val="power of attorney"/>
      <sheetName val="power of attorney-1"/>
      <sheetName val="power of attorney-2"/>
      <sheetName val="power of attorney-3"/>
      <sheetName val="power of attorney-4"/>
      <sheetName val="power of attorney-5"/>
      <sheetName val="power of attorney-6"/>
      <sheetName val="power of attorney-7"/>
      <sheetName val="power of attorney-8"/>
      <sheetName val="exhibit 311"/>
      <sheetName val="exhibit 312"/>
      <sheetName val="exhibit 313"/>
      <sheetName val="subsections a and b of s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8">
          <cell r="G8">
            <v>5648</v>
          </cell>
          <cell r="J8">
            <v>5371</v>
          </cell>
          <cell r="M8">
            <v>6428</v>
          </cell>
        </row>
        <row r="9">
          <cell r="G9">
            <v>7470</v>
          </cell>
          <cell r="J9">
            <v>7385</v>
          </cell>
          <cell r="M9">
            <v>7870</v>
          </cell>
        </row>
        <row r="12">
          <cell r="G12">
            <v>4640</v>
          </cell>
          <cell r="J12">
            <v>4439</v>
          </cell>
          <cell r="M12">
            <v>5293</v>
          </cell>
        </row>
        <row r="13">
          <cell r="G13">
            <v>4652</v>
          </cell>
          <cell r="J13">
            <v>4538</v>
          </cell>
          <cell r="M13">
            <v>4812</v>
          </cell>
        </row>
        <row r="14">
          <cell r="G14">
            <v>163</v>
          </cell>
          <cell r="J14">
            <v>152</v>
          </cell>
          <cell r="M14">
            <v>159</v>
          </cell>
        </row>
        <row r="15">
          <cell r="G15">
            <v>1810</v>
          </cell>
          <cell r="J15">
            <v>1924</v>
          </cell>
          <cell r="M15">
            <v>1948</v>
          </cell>
        </row>
        <row r="17">
          <cell r="G17">
            <v>-39</v>
          </cell>
          <cell r="J17">
            <v>-64</v>
          </cell>
          <cell r="M17">
            <v>22</v>
          </cell>
        </row>
        <row r="19">
          <cell r="G19">
            <v>-33</v>
          </cell>
          <cell r="J19">
            <v>6</v>
          </cell>
          <cell r="M19">
            <v>11</v>
          </cell>
        </row>
        <row r="20">
          <cell r="G20">
            <v>-14</v>
          </cell>
          <cell r="J20">
            <v>122</v>
          </cell>
          <cell r="M20">
            <v>136</v>
          </cell>
        </row>
        <row r="22">
          <cell r="G22">
            <v>594</v>
          </cell>
          <cell r="J22">
            <v>455</v>
          </cell>
          <cell r="M22">
            <v>541</v>
          </cell>
        </row>
        <row r="24">
          <cell r="G24">
            <v>151</v>
          </cell>
          <cell r="J24">
            <v>150</v>
          </cell>
          <cell r="M24">
            <v>174</v>
          </cell>
        </row>
      </sheetData>
      <sheetData sheetId="33"/>
      <sheetData sheetId="34">
        <row r="7">
          <cell r="B7">
            <v>1782</v>
          </cell>
          <cell r="C7">
            <v>1565</v>
          </cell>
        </row>
        <row r="8">
          <cell r="B8">
            <v>17</v>
          </cell>
          <cell r="C8">
            <v>1910</v>
          </cell>
        </row>
        <row r="9">
          <cell r="B9">
            <v>3148</v>
          </cell>
          <cell r="C9">
            <v>3232</v>
          </cell>
        </row>
        <row r="10">
          <cell r="B10">
            <v>458</v>
          </cell>
          <cell r="C10">
            <v>550</v>
          </cell>
        </row>
        <row r="11">
          <cell r="B11">
            <v>659</v>
          </cell>
          <cell r="C11">
            <v>622</v>
          </cell>
        </row>
        <row r="12">
          <cell r="B12">
            <v>429</v>
          </cell>
          <cell r="C12">
            <v>382</v>
          </cell>
        </row>
        <row r="14">
          <cell r="B14">
            <v>334</v>
          </cell>
          <cell r="C14">
            <v>335</v>
          </cell>
        </row>
        <row r="15">
          <cell r="B15">
            <v>774</v>
          </cell>
          <cell r="C15">
            <v>774</v>
          </cell>
        </row>
        <row r="16">
          <cell r="B16">
            <v>542</v>
          </cell>
          <cell r="C16">
            <v>526</v>
          </cell>
        </row>
        <row r="17">
          <cell r="B17">
            <v>484</v>
          </cell>
          <cell r="C17">
            <v>419</v>
          </cell>
        </row>
        <row r="18">
          <cell r="B18">
            <v>1773</v>
          </cell>
          <cell r="C18">
            <v>1667</v>
          </cell>
        </row>
        <row r="19">
          <cell r="B19">
            <v>310</v>
          </cell>
          <cell r="C19">
            <v>297</v>
          </cell>
        </row>
        <row r="22">
          <cell r="B22">
            <v>701</v>
          </cell>
          <cell r="C22">
            <v>24</v>
          </cell>
        </row>
        <row r="23">
          <cell r="B23">
            <v>1453</v>
          </cell>
          <cell r="C23">
            <v>1556</v>
          </cell>
        </row>
        <row r="24">
          <cell r="B24">
            <v>1977</v>
          </cell>
          <cell r="C24">
            <v>1993</v>
          </cell>
        </row>
        <row r="25">
          <cell r="B25">
            <v>2542</v>
          </cell>
          <cell r="C25">
            <v>2674</v>
          </cell>
        </row>
        <row r="28">
          <cell r="B28">
            <v>5262</v>
          </cell>
          <cell r="C28">
            <v>7249</v>
          </cell>
        </row>
        <row r="29">
          <cell r="B29">
            <v>654</v>
          </cell>
          <cell r="C29">
            <v>558</v>
          </cell>
        </row>
        <row r="30">
          <cell r="B30">
            <v>367</v>
          </cell>
          <cell r="C30">
            <v>336</v>
          </cell>
        </row>
        <row r="31">
          <cell r="B31">
            <v>321</v>
          </cell>
          <cell r="C31">
            <v>267</v>
          </cell>
        </row>
        <row r="32">
          <cell r="B32">
            <v>634</v>
          </cell>
          <cell r="C32">
            <v>606</v>
          </cell>
        </row>
        <row r="35">
          <cell r="B35">
            <v>194</v>
          </cell>
          <cell r="C35">
            <v>160</v>
          </cell>
        </row>
        <row r="43">
          <cell r="B43">
            <v>-3862</v>
          </cell>
          <cell r="C43">
            <v>-3625</v>
          </cell>
        </row>
        <row r="44">
          <cell r="B44">
            <v>467</v>
          </cell>
          <cell r="C44">
            <v>481</v>
          </cell>
        </row>
      </sheetData>
      <sheetData sheetId="35"/>
      <sheetData sheetId="36">
        <row r="9">
          <cell r="C9">
            <v>180</v>
          </cell>
          <cell r="D9">
            <v>191</v>
          </cell>
          <cell r="E9">
            <v>203</v>
          </cell>
        </row>
        <row r="10">
          <cell r="C10">
            <v>-8</v>
          </cell>
          <cell r="D10">
            <v>-51</v>
          </cell>
          <cell r="E10">
            <v>-92</v>
          </cell>
        </row>
        <row r="11">
          <cell r="C11">
            <v>37</v>
          </cell>
          <cell r="D11">
            <v>63</v>
          </cell>
          <cell r="E11">
            <v>65</v>
          </cell>
        </row>
        <row r="12">
          <cell r="C12">
            <v>26</v>
          </cell>
          <cell r="D12">
            <v>71</v>
          </cell>
          <cell r="E12">
            <v>0</v>
          </cell>
        </row>
        <row r="16">
          <cell r="C16">
            <v>-191</v>
          </cell>
          <cell r="D16">
            <v>-163</v>
          </cell>
          <cell r="E16">
            <v>-152</v>
          </cell>
        </row>
        <row r="17">
          <cell r="C17">
            <v>97</v>
          </cell>
          <cell r="D17">
            <v>282</v>
          </cell>
          <cell r="E17">
            <v>53</v>
          </cell>
        </row>
        <row r="18">
          <cell r="C18">
            <v>60</v>
          </cell>
          <cell r="D18">
            <v>-76</v>
          </cell>
          <cell r="E18">
            <v>14</v>
          </cell>
        </row>
        <row r="19">
          <cell r="C19">
            <v>30</v>
          </cell>
          <cell r="D19">
            <v>28</v>
          </cell>
          <cell r="E19">
            <v>43</v>
          </cell>
        </row>
        <row r="20">
          <cell r="C20">
            <v>6</v>
          </cell>
          <cell r="D20">
            <v>20</v>
          </cell>
          <cell r="E20">
            <v>130</v>
          </cell>
        </row>
        <row r="21">
          <cell r="C21">
            <v>-34</v>
          </cell>
          <cell r="D21">
            <v>-14</v>
          </cell>
          <cell r="E21">
            <v>72</v>
          </cell>
        </row>
        <row r="24">
          <cell r="C24">
            <v>-32</v>
          </cell>
          <cell r="D24">
            <v>-64</v>
          </cell>
          <cell r="E24">
            <v>-37</v>
          </cell>
        </row>
        <row r="25">
          <cell r="C25">
            <v>31</v>
          </cell>
          <cell r="D25">
            <v>137</v>
          </cell>
          <cell r="E25">
            <v>31</v>
          </cell>
        </row>
        <row r="29">
          <cell r="C29">
            <v>-145</v>
          </cell>
          <cell r="D29">
            <v>-183</v>
          </cell>
          <cell r="E29">
            <v>-156</v>
          </cell>
        </row>
        <row r="30">
          <cell r="C30">
            <v>-47</v>
          </cell>
          <cell r="D30">
            <v>-53</v>
          </cell>
          <cell r="E30">
            <v>-80</v>
          </cell>
        </row>
        <row r="31">
          <cell r="C31">
            <v>0</v>
          </cell>
          <cell r="D31">
            <v>-51</v>
          </cell>
          <cell r="E31">
            <v>40</v>
          </cell>
        </row>
        <row r="32">
          <cell r="C32">
            <v>-5</v>
          </cell>
          <cell r="D32">
            <v>-69</v>
          </cell>
          <cell r="E32">
            <v>73</v>
          </cell>
        </row>
        <row r="33">
          <cell r="C33">
            <v>-6</v>
          </cell>
          <cell r="D33">
            <v>3</v>
          </cell>
          <cell r="E33">
            <v>34</v>
          </cell>
        </row>
        <row r="37">
          <cell r="C37">
            <v>6</v>
          </cell>
          <cell r="D37">
            <v>647</v>
          </cell>
          <cell r="E37">
            <v>-304</v>
          </cell>
        </row>
        <row r="38">
          <cell r="C38">
            <v>0</v>
          </cell>
          <cell r="D38">
            <v>0</v>
          </cell>
          <cell r="E38">
            <v>152</v>
          </cell>
        </row>
        <row r="39">
          <cell r="C39">
            <v>0</v>
          </cell>
          <cell r="D39">
            <v>0</v>
          </cell>
          <cell r="E39">
            <v>-503</v>
          </cell>
        </row>
        <row r="40">
          <cell r="C40">
            <v>0</v>
          </cell>
          <cell r="D40">
            <v>6300</v>
          </cell>
          <cell r="E40">
            <v>2030</v>
          </cell>
        </row>
        <row r="41">
          <cell r="C41">
            <v>0</v>
          </cell>
          <cell r="D41">
            <v>-43</v>
          </cell>
          <cell r="E41">
            <v>-25</v>
          </cell>
        </row>
        <row r="42">
          <cell r="C42">
            <v>0</v>
          </cell>
          <cell r="D42">
            <v>-1000</v>
          </cell>
          <cell r="E42">
            <v>0</v>
          </cell>
        </row>
        <row r="44">
          <cell r="C44">
            <v>0</v>
          </cell>
          <cell r="D44">
            <v>-260</v>
          </cell>
          <cell r="E44">
            <v>-393</v>
          </cell>
        </row>
        <row r="45">
          <cell r="C45">
            <v>0</v>
          </cell>
          <cell r="D45">
            <v>0</v>
          </cell>
          <cell r="E45">
            <v>-725</v>
          </cell>
        </row>
        <row r="46">
          <cell r="C46">
            <v>-163</v>
          </cell>
          <cell r="D46">
            <v>-149</v>
          </cell>
          <cell r="E46">
            <v>-155</v>
          </cell>
        </row>
        <row r="47">
          <cell r="C47">
            <v>-972</v>
          </cell>
          <cell r="D47">
            <v>-6330</v>
          </cell>
          <cell r="E47">
            <v>0</v>
          </cell>
        </row>
        <row r="48">
          <cell r="C48">
            <v>-4</v>
          </cell>
          <cell r="D48">
            <v>-9</v>
          </cell>
          <cell r="E48">
            <v>-19</v>
          </cell>
        </row>
        <row r="52">
          <cell r="C52">
            <v>-20</v>
          </cell>
          <cell r="D52">
            <v>59</v>
          </cell>
          <cell r="E52">
            <v>-43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40"/>
  <sheetViews>
    <sheetView showGridLines="0" tabSelected="1" topLeftCell="A103" zoomScale="60" zoomScaleNormal="60" workbookViewId="0">
      <selection activeCell="S15" sqref="S15"/>
    </sheetView>
  </sheetViews>
  <sheetFormatPr defaultColWidth="9.109375" defaultRowHeight="15.6"/>
  <cols>
    <col min="1" max="1" width="2.6640625" style="1" customWidth="1"/>
    <col min="2" max="2" width="53.5546875" style="1" customWidth="1"/>
    <col min="3" max="3" width="16.6640625" style="1" customWidth="1"/>
    <col min="4" max="4" width="17.33203125" style="1" customWidth="1"/>
    <col min="5" max="5" width="16.44140625" style="2" customWidth="1"/>
    <col min="6" max="6" width="13.6640625" style="1" customWidth="1"/>
    <col min="7" max="7" width="13.5546875" style="1" customWidth="1"/>
    <col min="8" max="8" width="13.6640625" style="1" customWidth="1"/>
    <col min="9" max="9" width="12.5546875" style="1" customWidth="1"/>
    <col min="10" max="10" width="11.33203125" style="1" customWidth="1"/>
    <col min="11" max="16384" width="9.109375" style="1"/>
  </cols>
  <sheetData>
    <row r="2" spans="1:11">
      <c r="A2" s="3"/>
      <c r="B2" s="4"/>
      <c r="C2" s="4"/>
      <c r="D2" s="4"/>
      <c r="E2" s="4"/>
      <c r="F2" s="4"/>
      <c r="G2" s="4"/>
      <c r="H2" s="4"/>
      <c r="I2" s="4"/>
      <c r="J2" s="4"/>
    </row>
    <row r="3" spans="1:11">
      <c r="A3" s="3"/>
      <c r="B3" s="4"/>
      <c r="C3" s="4"/>
      <c r="D3" s="4"/>
      <c r="E3" s="4"/>
      <c r="F3" s="4"/>
      <c r="G3" s="4"/>
      <c r="H3" s="4"/>
      <c r="I3" s="4"/>
      <c r="J3" s="4"/>
    </row>
    <row r="4" spans="1:11">
      <c r="A4" s="3"/>
      <c r="B4" s="4"/>
      <c r="C4" s="5"/>
      <c r="D4" s="5"/>
      <c r="E4" s="6"/>
      <c r="F4" s="5"/>
      <c r="G4" s="5"/>
      <c r="H4" s="5"/>
      <c r="I4" s="5"/>
      <c r="J4" s="5"/>
      <c r="K4" s="3"/>
    </row>
    <row r="5" spans="1:11">
      <c r="A5" s="3"/>
      <c r="B5" s="4"/>
      <c r="C5" s="5"/>
      <c r="D5" s="5" t="s">
        <v>0</v>
      </c>
      <c r="E5" s="6"/>
      <c r="F5" s="7" t="s">
        <v>1</v>
      </c>
      <c r="G5" s="5"/>
      <c r="H5" s="5"/>
      <c r="I5" s="5"/>
      <c r="J5" s="5"/>
      <c r="K5" s="3"/>
    </row>
    <row r="6" spans="1:11">
      <c r="A6" s="3"/>
      <c r="B6" s="4"/>
      <c r="C6" s="5"/>
      <c r="D6" s="5" t="s">
        <v>2</v>
      </c>
      <c r="E6" s="6"/>
      <c r="F6" s="5"/>
      <c r="G6" s="5"/>
      <c r="H6" s="5"/>
      <c r="I6" s="5"/>
      <c r="J6" s="5"/>
      <c r="K6" s="3"/>
    </row>
    <row r="7" spans="1:11">
      <c r="A7" s="3"/>
      <c r="B7" s="4"/>
      <c r="C7" s="5"/>
      <c r="D7" s="5" t="s">
        <v>3</v>
      </c>
      <c r="E7" s="6"/>
      <c r="F7" s="5"/>
      <c r="G7" s="5"/>
      <c r="H7" s="5"/>
      <c r="I7" s="5"/>
      <c r="J7" s="5"/>
      <c r="K7" s="3"/>
    </row>
    <row r="8" spans="1:11">
      <c r="A8" s="3"/>
      <c r="B8" s="4"/>
      <c r="C8" s="5"/>
      <c r="D8" s="5"/>
      <c r="E8" s="6"/>
      <c r="F8" s="5"/>
      <c r="G8" s="5"/>
      <c r="H8" s="5"/>
      <c r="I8" s="5"/>
      <c r="J8" s="5"/>
      <c r="K8" s="3"/>
    </row>
    <row r="9" spans="1:11">
      <c r="A9" s="3"/>
      <c r="B9" s="3"/>
      <c r="C9" s="3"/>
      <c r="D9" s="3"/>
      <c r="E9" s="8"/>
      <c r="F9" s="3"/>
      <c r="G9" s="3"/>
      <c r="H9" s="3"/>
      <c r="I9" s="3"/>
      <c r="J9" s="3"/>
      <c r="K9" s="3"/>
    </row>
    <row r="10" spans="1:11" ht="18">
      <c r="B10" s="9" t="s">
        <v>4</v>
      </c>
    </row>
    <row r="11" spans="1:11">
      <c r="B11" s="1" t="s">
        <v>5</v>
      </c>
    </row>
    <row r="13" spans="1:11">
      <c r="B13" s="58" t="s">
        <v>6</v>
      </c>
      <c r="C13" s="57" t="s">
        <v>7</v>
      </c>
      <c r="D13" s="57"/>
      <c r="E13" s="57"/>
      <c r="F13" s="57" t="s">
        <v>8</v>
      </c>
      <c r="G13" s="57"/>
      <c r="H13" s="57"/>
      <c r="I13" s="57"/>
      <c r="J13" s="57"/>
    </row>
    <row r="14" spans="1:11">
      <c r="B14" s="58"/>
      <c r="C14" s="11">
        <v>43830</v>
      </c>
      <c r="D14" s="11">
        <f>EOMONTH(C14,12)</f>
        <v>44196</v>
      </c>
      <c r="E14" s="11">
        <f>EOMONTH(D14,12)</f>
        <v>44561</v>
      </c>
      <c r="F14" s="11">
        <f t="shared" ref="F14:J14" si="0">EOMONTH(E14,12)</f>
        <v>44926</v>
      </c>
      <c r="G14" s="11">
        <f t="shared" si="0"/>
        <v>45291</v>
      </c>
      <c r="H14" s="11">
        <f t="shared" si="0"/>
        <v>45657</v>
      </c>
      <c r="I14" s="11">
        <f t="shared" si="0"/>
        <v>46022</v>
      </c>
      <c r="J14" s="11">
        <f t="shared" si="0"/>
        <v>46387</v>
      </c>
    </row>
    <row r="15" spans="1:11">
      <c r="C15" s="12"/>
      <c r="D15" s="12"/>
      <c r="E15" s="13"/>
      <c r="F15" s="12"/>
      <c r="G15" s="12"/>
      <c r="H15" s="12"/>
      <c r="I15" s="12"/>
      <c r="J15" s="12"/>
    </row>
    <row r="16" spans="1:11">
      <c r="B16" s="1" t="s">
        <v>9</v>
      </c>
      <c r="C16" s="14">
        <f>C66/C19</f>
        <v>35300</v>
      </c>
      <c r="D16" s="14">
        <f>D66/D19</f>
        <v>31594.1176470588</v>
      </c>
      <c r="E16" s="14">
        <f>E66/E19</f>
        <v>35711.111111111102</v>
      </c>
      <c r="F16" s="14">
        <f>E16*(1+F17)</f>
        <v>37496.666666666701</v>
      </c>
      <c r="G16" s="14">
        <f t="shared" ref="G16:J16" si="1">F16*(1+G17)</f>
        <v>39371.5</v>
      </c>
      <c r="H16" s="14">
        <f t="shared" si="1"/>
        <v>40946.36</v>
      </c>
      <c r="I16" s="14">
        <f t="shared" si="1"/>
        <v>42584.214399999997</v>
      </c>
      <c r="J16" s="14">
        <f t="shared" si="1"/>
        <v>43861.740832000003</v>
      </c>
    </row>
    <row r="17" spans="2:10">
      <c r="B17" s="15" t="s">
        <v>10</v>
      </c>
      <c r="D17" s="16">
        <f>D16/C16-1</f>
        <v>-0.104982502916181</v>
      </c>
      <c r="E17" s="16">
        <f>E16/D16-1</f>
        <v>0.13030886034051201</v>
      </c>
      <c r="F17" s="17">
        <v>0.05</v>
      </c>
      <c r="G17" s="17">
        <v>0.05</v>
      </c>
      <c r="H17" s="17">
        <v>0.04</v>
      </c>
      <c r="I17" s="17">
        <v>0.04</v>
      </c>
      <c r="J17" s="17">
        <v>0.03</v>
      </c>
    </row>
    <row r="19" spans="2:10">
      <c r="B19" s="1" t="s">
        <v>9</v>
      </c>
      <c r="C19" s="17">
        <v>0.16</v>
      </c>
      <c r="D19" s="17">
        <v>0.17</v>
      </c>
      <c r="E19" s="17">
        <v>0.18</v>
      </c>
      <c r="F19" s="17">
        <v>0.18</v>
      </c>
      <c r="G19" s="17">
        <v>0.182</v>
      </c>
      <c r="H19" s="17">
        <v>0.184</v>
      </c>
      <c r="I19" s="17">
        <v>0.185</v>
      </c>
      <c r="J19" s="17">
        <v>0.185</v>
      </c>
    </row>
    <row r="21" spans="2:10">
      <c r="B21" s="1" t="s">
        <v>11</v>
      </c>
      <c r="C21" s="18">
        <v>2</v>
      </c>
      <c r="D21" s="18">
        <v>2.1</v>
      </c>
      <c r="E21" s="18">
        <v>2.15</v>
      </c>
      <c r="F21" s="18">
        <f>E21*(1+F22)</f>
        <v>2.2145000000000001</v>
      </c>
      <c r="G21" s="18">
        <f t="shared" ref="G21:J21" si="2">F21*(1+G22)</f>
        <v>2.2809349999999999</v>
      </c>
      <c r="H21" s="18">
        <f t="shared" si="2"/>
        <v>2.34936305</v>
      </c>
      <c r="I21" s="18">
        <f t="shared" si="2"/>
        <v>2.4198439414999999</v>
      </c>
      <c r="J21" s="18">
        <f t="shared" si="2"/>
        <v>2.4924392597449998</v>
      </c>
    </row>
    <row r="22" spans="2:10">
      <c r="B22" s="15" t="s">
        <v>10</v>
      </c>
      <c r="D22" s="16">
        <f>D21/C21-1</f>
        <v>0.05</v>
      </c>
      <c r="E22" s="16">
        <f>E21/D21-1</f>
        <v>2.3809523809523701E-2</v>
      </c>
      <c r="F22" s="17">
        <v>0.03</v>
      </c>
      <c r="G22" s="17">
        <v>0.03</v>
      </c>
      <c r="H22" s="17">
        <v>0.03</v>
      </c>
      <c r="I22" s="17">
        <v>0.03</v>
      </c>
      <c r="J22" s="17">
        <v>0.03</v>
      </c>
    </row>
    <row r="24" spans="2:10">
      <c r="B24" s="1" t="s">
        <v>12</v>
      </c>
      <c r="C24" s="14">
        <f>C67/C21</f>
        <v>3735</v>
      </c>
      <c r="D24" s="14">
        <f>D67/D21</f>
        <v>3516.6666666666702</v>
      </c>
      <c r="E24" s="14">
        <f>E67/E21</f>
        <v>3660.4651162790701</v>
      </c>
      <c r="F24" s="14">
        <f>E24*(1+F25)</f>
        <v>3806.8837209302301</v>
      </c>
      <c r="G24" s="14">
        <f t="shared" ref="G24:J24" si="3">F24*(1+G25)</f>
        <v>3940.1246511627901</v>
      </c>
      <c r="H24" s="14">
        <f t="shared" si="3"/>
        <v>4078.02901395349</v>
      </c>
      <c r="I24" s="14">
        <f t="shared" si="3"/>
        <v>4200.3698843720904</v>
      </c>
      <c r="J24" s="14">
        <f t="shared" si="3"/>
        <v>4326.38098090326</v>
      </c>
    </row>
    <row r="25" spans="2:10">
      <c r="B25" s="15" t="s">
        <v>10</v>
      </c>
      <c r="D25" s="16">
        <f>D24/C24-1</f>
        <v>-5.8456046407853603E-2</v>
      </c>
      <c r="E25" s="16">
        <f>E24/D24-1</f>
        <v>4.0890554392152702E-2</v>
      </c>
      <c r="F25" s="17">
        <v>0.04</v>
      </c>
      <c r="G25" s="17">
        <v>3.5000000000000003E-2</v>
      </c>
      <c r="H25" s="17">
        <v>3.5000000000000003E-2</v>
      </c>
      <c r="I25" s="17">
        <v>0.03</v>
      </c>
      <c r="J25" s="17">
        <v>0.03</v>
      </c>
    </row>
    <row r="27" spans="2:10">
      <c r="B27" s="1" t="s">
        <v>13</v>
      </c>
      <c r="C27" s="16">
        <f>-C70/C66</f>
        <v>0.82152974504249299</v>
      </c>
      <c r="D27" s="16">
        <f t="shared" ref="D27:E27" si="4">-D70/D66</f>
        <v>0.826475516663564</v>
      </c>
      <c r="E27" s="16">
        <f t="shared" si="4"/>
        <v>0.82342874922215303</v>
      </c>
      <c r="F27" s="19">
        <f>AVERAGE(C27:E27)</f>
        <v>0.82381133697607001</v>
      </c>
      <c r="G27" s="16">
        <f>F27</f>
        <v>0.82381133697607001</v>
      </c>
      <c r="H27" s="16">
        <f t="shared" ref="H27:J27" si="5">G27</f>
        <v>0.82381133697607001</v>
      </c>
      <c r="I27" s="16">
        <f t="shared" si="5"/>
        <v>0.82381133697607001</v>
      </c>
      <c r="J27" s="16">
        <f t="shared" si="5"/>
        <v>0.82381133697607001</v>
      </c>
    </row>
    <row r="28" spans="2:10">
      <c r="B28" s="1" t="s">
        <v>14</v>
      </c>
      <c r="C28" s="16">
        <f>-C71/C67</f>
        <v>0.62275769745649301</v>
      </c>
      <c r="D28" s="16">
        <f t="shared" ref="D28:E28" si="6">-D71/D67</f>
        <v>0.61448882870683796</v>
      </c>
      <c r="E28" s="16">
        <f t="shared" si="6"/>
        <v>0.61143583227445997</v>
      </c>
      <c r="F28" s="19">
        <f t="shared" ref="F28:F29" si="7">AVERAGE(C28:E28)</f>
        <v>0.61622745281259705</v>
      </c>
      <c r="G28" s="16">
        <f>F28</f>
        <v>0.61622745281259705</v>
      </c>
      <c r="H28" s="16">
        <f t="shared" ref="H28:J28" si="8">G28</f>
        <v>0.61622745281259705</v>
      </c>
      <c r="I28" s="16">
        <f t="shared" si="8"/>
        <v>0.61622745281259705</v>
      </c>
      <c r="J28" s="16">
        <f t="shared" si="8"/>
        <v>0.61622745281259705</v>
      </c>
    </row>
    <row r="29" spans="2:10">
      <c r="B29" s="1" t="s">
        <v>15</v>
      </c>
      <c r="C29" s="16">
        <f>-C72/C68</f>
        <v>0.150404025003812</v>
      </c>
      <c r="D29" s="16">
        <f t="shared" ref="D29:E29" si="9">-D72/D68</f>
        <v>0.16274694261524</v>
      </c>
      <c r="E29" s="16">
        <f t="shared" si="9"/>
        <v>0.147363267589873</v>
      </c>
      <c r="F29" s="19">
        <f t="shared" si="7"/>
        <v>0.15350474506964101</v>
      </c>
      <c r="G29" s="16">
        <f>F29</f>
        <v>0.15350474506964101</v>
      </c>
      <c r="H29" s="16">
        <f t="shared" ref="H29:J36" si="10">G29</f>
        <v>0.15350474506964101</v>
      </c>
      <c r="I29" s="16">
        <f t="shared" si="10"/>
        <v>0.15350474506964101</v>
      </c>
      <c r="J29" s="16">
        <f t="shared" si="10"/>
        <v>0.15350474506964101</v>
      </c>
    </row>
    <row r="31" spans="2:10">
      <c r="B31" s="1" t="s">
        <v>16</v>
      </c>
      <c r="C31" s="16">
        <f>-C80/C78</f>
        <v>0.319183234819989</v>
      </c>
      <c r="D31" s="16">
        <f>-D80/D78</f>
        <v>0.30112508272667099</v>
      </c>
      <c r="E31" s="16">
        <f>-E80/E78</f>
        <v>0.27587965323814401</v>
      </c>
      <c r="F31" s="19">
        <f t="shared" ref="F31:F32" si="11">AVERAGE(C31:E31)</f>
        <v>0.29872932359493498</v>
      </c>
      <c r="G31" s="16">
        <f>F31</f>
        <v>0.29872932359493498</v>
      </c>
      <c r="H31" s="16">
        <f t="shared" si="10"/>
        <v>0.29872932359493498</v>
      </c>
      <c r="I31" s="16">
        <f t="shared" si="10"/>
        <v>0.29872932359493498</v>
      </c>
      <c r="J31" s="16">
        <f t="shared" si="10"/>
        <v>0.29872932359493498</v>
      </c>
    </row>
    <row r="32" spans="2:10">
      <c r="B32" s="1" t="s">
        <v>17</v>
      </c>
      <c r="C32" s="16">
        <f>-C83/C82</f>
        <v>0.11917916337805801</v>
      </c>
      <c r="D32" s="16">
        <f>-D83/D82</f>
        <v>0.142045454545455</v>
      </c>
      <c r="E32" s="16">
        <f>-E83/E82</f>
        <v>0.122535211267606</v>
      </c>
      <c r="F32" s="19">
        <f t="shared" si="11"/>
        <v>0.12791994306370599</v>
      </c>
      <c r="G32" s="16">
        <f>F32</f>
        <v>0.12791994306370599</v>
      </c>
      <c r="H32" s="16">
        <f t="shared" si="10"/>
        <v>0.12791994306370599</v>
      </c>
      <c r="I32" s="16">
        <f t="shared" si="10"/>
        <v>0.12791994306370599</v>
      </c>
      <c r="J32" s="16">
        <f t="shared" si="10"/>
        <v>0.12791994306370599</v>
      </c>
    </row>
    <row r="34" spans="2:12">
      <c r="B34" s="1" t="s">
        <v>18</v>
      </c>
      <c r="D34" s="16">
        <f>D90/D68</f>
        <v>0.24678582627782999</v>
      </c>
      <c r="E34" s="16">
        <f>E90/E68</f>
        <v>0.226045600783326</v>
      </c>
      <c r="F34" s="19">
        <f t="shared" ref="F34:F36" si="12">AVERAGE(C34:E34)</f>
        <v>0.236415713530578</v>
      </c>
      <c r="G34" s="16">
        <f>F34</f>
        <v>0.236415713530578</v>
      </c>
      <c r="H34" s="16">
        <f t="shared" si="10"/>
        <v>0.236415713530578</v>
      </c>
      <c r="I34" s="16">
        <f t="shared" si="10"/>
        <v>0.236415713530578</v>
      </c>
      <c r="J34" s="16">
        <f t="shared" si="10"/>
        <v>0.236415713530578</v>
      </c>
    </row>
    <row r="35" spans="2:12">
      <c r="B35" s="1" t="s">
        <v>19</v>
      </c>
      <c r="D35" s="16">
        <f>-D91/SUM(D70:D71)</f>
        <v>0.172217890163752</v>
      </c>
      <c r="E35" s="16">
        <f>-E91/SUM(E70:E71)</f>
        <v>0.15378525482434399</v>
      </c>
      <c r="F35" s="19">
        <f t="shared" si="12"/>
        <v>0.16300157249404801</v>
      </c>
      <c r="G35" s="16">
        <f>F35</f>
        <v>0.16300157249404801</v>
      </c>
      <c r="H35" s="16">
        <f t="shared" si="10"/>
        <v>0.16300157249404801</v>
      </c>
      <c r="I35" s="16">
        <f t="shared" si="10"/>
        <v>0.16300157249404801</v>
      </c>
      <c r="J35" s="16">
        <f t="shared" si="10"/>
        <v>0.16300157249404801</v>
      </c>
    </row>
    <row r="36" spans="2:12">
      <c r="B36" s="1" t="s">
        <v>20</v>
      </c>
      <c r="D36" s="16">
        <f>-D93/D72</f>
        <v>0.26107899807321799</v>
      </c>
      <c r="E36" s="16">
        <f>-E93/E72</f>
        <v>0.24964404366397699</v>
      </c>
      <c r="F36" s="19">
        <f t="shared" si="12"/>
        <v>0.25536152086859698</v>
      </c>
      <c r="G36" s="16">
        <f>F36</f>
        <v>0.25536152086859698</v>
      </c>
      <c r="H36" s="16">
        <f t="shared" si="10"/>
        <v>0.25536152086859698</v>
      </c>
      <c r="I36" s="16">
        <f t="shared" si="10"/>
        <v>0.25536152086859698</v>
      </c>
      <c r="J36" s="16">
        <f t="shared" si="10"/>
        <v>0.25536152086859698</v>
      </c>
    </row>
    <row r="37" spans="2:12">
      <c r="D37" s="16"/>
      <c r="E37" s="16"/>
    </row>
    <row r="38" spans="2:12">
      <c r="B38" s="1" t="s">
        <v>21</v>
      </c>
      <c r="D38" s="16">
        <f>-D98/SUM(D70:D71)</f>
        <v>0.161858081764509</v>
      </c>
      <c r="E38" s="16">
        <f>-E98/SUM(E70:E71)</f>
        <v>0.15398317664522501</v>
      </c>
      <c r="F38" s="19">
        <f t="shared" ref="F38:F41" si="13">AVERAGE(C38:E38)</f>
        <v>0.15792062920486699</v>
      </c>
      <c r="G38" s="16">
        <f t="shared" ref="G38:J38" si="14">F38</f>
        <v>0.15792062920486699</v>
      </c>
      <c r="H38" s="16">
        <f t="shared" si="14"/>
        <v>0.15792062920486699</v>
      </c>
      <c r="I38" s="16">
        <f t="shared" si="14"/>
        <v>0.15792062920486699</v>
      </c>
      <c r="J38" s="16">
        <f t="shared" si="14"/>
        <v>0.15792062920486699</v>
      </c>
    </row>
    <row r="39" spans="2:12">
      <c r="B39" s="1" t="s">
        <v>22</v>
      </c>
      <c r="D39" s="16">
        <f>-D99/SUM(D70:D72)</f>
        <v>0.17886546638921599</v>
      </c>
      <c r="E39" s="16">
        <f>-E99/SUM(E70:E72)</f>
        <v>0.16320013101867001</v>
      </c>
      <c r="F39" s="19">
        <f t="shared" si="13"/>
        <v>0.171032798703943</v>
      </c>
      <c r="G39" s="16">
        <f t="shared" ref="G39:J39" si="15">F39</f>
        <v>0.171032798703943</v>
      </c>
      <c r="H39" s="16">
        <f t="shared" si="15"/>
        <v>0.171032798703943</v>
      </c>
      <c r="I39" s="16">
        <f t="shared" si="15"/>
        <v>0.171032798703943</v>
      </c>
      <c r="J39" s="16">
        <f t="shared" si="15"/>
        <v>0.171032798703943</v>
      </c>
    </row>
    <row r="40" spans="2:12">
      <c r="B40" s="1" t="s">
        <v>23</v>
      </c>
      <c r="D40" s="16">
        <f>-D100/SUM(D70:D72)</f>
        <v>0.22998281009680599</v>
      </c>
      <c r="E40" s="16">
        <f>-E100/SUM(E70:E72)</f>
        <v>0.218964952505732</v>
      </c>
      <c r="F40" s="19">
        <f t="shared" si="13"/>
        <v>0.224473881301269</v>
      </c>
      <c r="G40" s="16">
        <f t="shared" ref="G40:J40" si="16">F40</f>
        <v>0.224473881301269</v>
      </c>
      <c r="H40" s="16">
        <f t="shared" si="16"/>
        <v>0.224473881301269</v>
      </c>
      <c r="I40" s="16">
        <f t="shared" si="16"/>
        <v>0.224473881301269</v>
      </c>
      <c r="J40" s="16">
        <f t="shared" si="16"/>
        <v>0.224473881301269</v>
      </c>
    </row>
    <row r="41" spans="2:12">
      <c r="B41" s="1" t="s">
        <v>24</v>
      </c>
      <c r="D41" s="16">
        <f>-D103/SUM(D70:D72)</f>
        <v>0.14557133809825401</v>
      </c>
      <c r="E41" s="16">
        <f>-E103/SUM(E70:E72)</f>
        <v>0.117179823124795</v>
      </c>
      <c r="F41" s="19">
        <f t="shared" si="13"/>
        <v>0.13137558061152499</v>
      </c>
      <c r="G41" s="16">
        <f t="shared" ref="G41:J41" si="17">F41</f>
        <v>0.13137558061152499</v>
      </c>
      <c r="H41" s="16">
        <f t="shared" si="17"/>
        <v>0.13137558061152499</v>
      </c>
      <c r="I41" s="16">
        <f t="shared" si="17"/>
        <v>0.13137558061152499</v>
      </c>
      <c r="J41" s="16">
        <f t="shared" si="17"/>
        <v>0.13137558061152499</v>
      </c>
    </row>
    <row r="43" spans="2:12">
      <c r="B43" s="20" t="s">
        <v>25</v>
      </c>
      <c r="C43" s="16">
        <f>-C124/C68</f>
        <v>1.1053514255221801E-2</v>
      </c>
      <c r="D43" s="16">
        <f t="shared" ref="D43:E43" si="18">-D124/D68</f>
        <v>1.4346190028221999E-2</v>
      </c>
      <c r="E43" s="16">
        <f t="shared" si="18"/>
        <v>1.09106168694922E-2</v>
      </c>
      <c r="F43" s="19">
        <f t="shared" ref="F43:F45" si="19">AVERAGE(C43:E43)</f>
        <v>1.2103440384312001E-2</v>
      </c>
      <c r="G43" s="16">
        <f t="shared" ref="G43:G45" si="20">F43</f>
        <v>1.2103440384312001E-2</v>
      </c>
      <c r="H43" s="16">
        <f t="shared" ref="H43:H45" si="21">G43</f>
        <v>1.2103440384312001E-2</v>
      </c>
      <c r="I43" s="16">
        <f t="shared" ref="I43:I45" si="22">H43</f>
        <v>1.2103440384312001E-2</v>
      </c>
      <c r="J43" s="16">
        <f t="shared" ref="J43:J45" si="23">I43</f>
        <v>1.2103440384312001E-2</v>
      </c>
    </row>
    <row r="44" spans="2:12">
      <c r="B44" s="20" t="s">
        <v>26</v>
      </c>
      <c r="C44" s="16">
        <f>C118/C68</f>
        <v>1.3721603903034001E-2</v>
      </c>
      <c r="D44" s="16">
        <f t="shared" ref="D44:E44" si="24">D118/D68</f>
        <v>1.49733458764503E-2</v>
      </c>
      <c r="E44" s="16">
        <f t="shared" si="24"/>
        <v>1.41977899006854E-2</v>
      </c>
      <c r="F44" s="19">
        <f t="shared" si="19"/>
        <v>1.42975798933899E-2</v>
      </c>
      <c r="G44" s="16">
        <f t="shared" si="20"/>
        <v>1.42975798933899E-2</v>
      </c>
      <c r="H44" s="16">
        <f t="shared" si="21"/>
        <v>1.42975798933899E-2</v>
      </c>
      <c r="I44" s="16">
        <f t="shared" si="22"/>
        <v>1.42975798933899E-2</v>
      </c>
      <c r="J44" s="16">
        <f t="shared" si="23"/>
        <v>1.42975798933899E-2</v>
      </c>
    </row>
    <row r="45" spans="2:12">
      <c r="B45" s="21" t="s">
        <v>27</v>
      </c>
      <c r="C45" s="16">
        <f>C119/C68</f>
        <v>4.1164811709102E-3</v>
      </c>
      <c r="D45" s="16">
        <f t="shared" ref="D45:E45" si="25">D119/D68</f>
        <v>1.22295390404516E-2</v>
      </c>
      <c r="E45" s="16">
        <f t="shared" si="25"/>
        <v>-2.3080151070079698E-3</v>
      </c>
      <c r="F45" s="19">
        <f t="shared" si="19"/>
        <v>4.6793350347845899E-3</v>
      </c>
      <c r="G45" s="16">
        <f t="shared" si="20"/>
        <v>4.6793350347845899E-3</v>
      </c>
      <c r="H45" s="16">
        <f t="shared" si="21"/>
        <v>4.6793350347845899E-3</v>
      </c>
      <c r="I45" s="16">
        <f t="shared" si="22"/>
        <v>4.6793350347845899E-3</v>
      </c>
      <c r="J45" s="16">
        <f t="shared" si="23"/>
        <v>4.6793350347845899E-3</v>
      </c>
    </row>
    <row r="47" spans="2:12">
      <c r="B47" s="20" t="s">
        <v>28</v>
      </c>
      <c r="C47" s="22">
        <f>C125</f>
        <v>-58</v>
      </c>
      <c r="D47" s="22">
        <f>D125</f>
        <v>-170</v>
      </c>
      <c r="E47" s="22">
        <f>E125</f>
        <v>67</v>
      </c>
      <c r="F47" s="23">
        <v>-75</v>
      </c>
      <c r="G47" s="22">
        <v>-75</v>
      </c>
      <c r="H47" s="22">
        <v>-75</v>
      </c>
      <c r="I47" s="22">
        <v>-75</v>
      </c>
      <c r="J47" s="22">
        <v>-75</v>
      </c>
      <c r="K47" s="22"/>
      <c r="L47" s="22"/>
    </row>
    <row r="48" spans="2:12">
      <c r="B48" s="20"/>
      <c r="C48" s="22"/>
      <c r="D48" s="22"/>
      <c r="E48" s="22"/>
      <c r="F48" s="23"/>
      <c r="G48" s="22"/>
      <c r="H48" s="22"/>
      <c r="I48" s="22"/>
      <c r="J48" s="22"/>
      <c r="K48" s="22"/>
      <c r="L48" s="22"/>
    </row>
    <row r="49" spans="2:12">
      <c r="B49" s="1" t="s">
        <v>29</v>
      </c>
      <c r="C49" s="14"/>
      <c r="D49" s="14"/>
      <c r="E49" s="14">
        <v>3000</v>
      </c>
      <c r="F49" s="14"/>
      <c r="G49" s="14"/>
      <c r="H49" s="14"/>
      <c r="I49" s="14"/>
      <c r="J49" s="14"/>
      <c r="K49" s="22"/>
      <c r="L49" s="22"/>
    </row>
    <row r="50" spans="2:12">
      <c r="B50" s="1" t="s">
        <v>30</v>
      </c>
      <c r="C50" s="14"/>
      <c r="D50" s="14"/>
      <c r="E50" s="14"/>
      <c r="F50" s="14">
        <f>E89+F121+F126+F130+F132+F136-$E$49</f>
        <v>1654.62238648934</v>
      </c>
      <c r="G50" s="14">
        <f t="shared" ref="G50:J50" si="26">F89+G121+G126+G130+G132+G136-$E$49</f>
        <v>1022.14192765145</v>
      </c>
      <c r="H50" s="14">
        <f t="shared" si="26"/>
        <v>1045.8087874340199</v>
      </c>
      <c r="I50" s="14">
        <f t="shared" si="26"/>
        <v>1085.4837364468201</v>
      </c>
      <c r="J50" s="14">
        <f t="shared" si="26"/>
        <v>1124.2962186090399</v>
      </c>
      <c r="K50" s="22"/>
      <c r="L50" s="22"/>
    </row>
    <row r="51" spans="2:12">
      <c r="B51" s="15" t="s">
        <v>31</v>
      </c>
      <c r="C51" s="22"/>
      <c r="D51" s="22"/>
      <c r="E51" s="17">
        <v>0.85</v>
      </c>
      <c r="F51" s="23"/>
      <c r="G51" s="22"/>
      <c r="H51" s="22"/>
      <c r="I51" s="22"/>
      <c r="J51" s="22"/>
      <c r="K51" s="22"/>
      <c r="L51" s="22"/>
    </row>
    <row r="52" spans="2:12">
      <c r="B52" s="15" t="s">
        <v>32</v>
      </c>
      <c r="C52" s="22"/>
      <c r="D52" s="22"/>
      <c r="E52" s="17">
        <v>0.15</v>
      </c>
      <c r="F52" s="23"/>
      <c r="G52" s="22"/>
      <c r="H52" s="22"/>
      <c r="I52" s="22"/>
      <c r="J52" s="22"/>
      <c r="K52" s="22"/>
      <c r="L52" s="22"/>
    </row>
    <row r="53" spans="2:12">
      <c r="B53" s="15"/>
      <c r="C53" s="22"/>
      <c r="D53" s="22"/>
      <c r="E53" s="17"/>
      <c r="F53" s="23"/>
      <c r="G53" s="22"/>
      <c r="H53" s="22"/>
      <c r="I53" s="22"/>
      <c r="J53" s="22"/>
      <c r="K53" s="22"/>
      <c r="L53" s="22"/>
    </row>
    <row r="54" spans="2:12">
      <c r="B54" s="24" t="s">
        <v>33</v>
      </c>
      <c r="C54" s="22"/>
      <c r="D54" s="16">
        <f>-D77/D101</f>
        <v>2.0459500251551199E-2</v>
      </c>
      <c r="E54" s="16">
        <f>-E77/E101</f>
        <v>1.8699298776295899E-2</v>
      </c>
      <c r="F54" s="17">
        <v>2.5000000000000001E-2</v>
      </c>
      <c r="G54" s="17">
        <v>0.03</v>
      </c>
      <c r="H54" s="17">
        <v>0.03</v>
      </c>
      <c r="I54" s="17">
        <v>3.5000000000000003E-2</v>
      </c>
      <c r="J54" s="17">
        <v>3.5000000000000003E-2</v>
      </c>
      <c r="K54" s="22"/>
      <c r="L54" s="22"/>
    </row>
    <row r="56" spans="2:12">
      <c r="B56" s="1" t="s">
        <v>34</v>
      </c>
      <c r="F56" s="22">
        <f>IF(F50&lt;0,-F50,-F50*$E$52)</f>
        <v>-248.19335797340199</v>
      </c>
      <c r="G56" s="22">
        <f t="shared" ref="G56:J56" si="27">IF(G50&lt;0,-G50,-G50*$E52)</f>
        <v>-153.32128914771801</v>
      </c>
      <c r="H56" s="22">
        <f t="shared" si="27"/>
        <v>-156.871318115104</v>
      </c>
      <c r="I56" s="22">
        <f t="shared" si="27"/>
        <v>-162.822560467024</v>
      </c>
      <c r="J56" s="22">
        <f t="shared" si="27"/>
        <v>-168.644432791356</v>
      </c>
    </row>
    <row r="57" spans="2:12">
      <c r="B57" s="20" t="s">
        <v>35</v>
      </c>
      <c r="C57" s="16">
        <f>-C130/C84</f>
        <v>0</v>
      </c>
      <c r="D57" s="16">
        <f t="shared" ref="D57:E57" si="28">-D130/D84</f>
        <v>0.28697571743929401</v>
      </c>
      <c r="E57" s="16">
        <f t="shared" si="28"/>
        <v>0.31540930979133203</v>
      </c>
      <c r="F57" s="25">
        <v>0.35</v>
      </c>
      <c r="G57" s="26">
        <v>0.375</v>
      </c>
      <c r="H57" s="26">
        <v>0.4</v>
      </c>
      <c r="I57" s="26">
        <v>0.4</v>
      </c>
      <c r="J57" s="26">
        <v>0.4</v>
      </c>
    </row>
    <row r="58" spans="2:12">
      <c r="B58" s="1" t="s">
        <v>36</v>
      </c>
      <c r="C58" s="16"/>
      <c r="D58" s="16"/>
      <c r="E58" s="16"/>
      <c r="F58" s="22">
        <f>IF(F56&lt;0,-F50*$E$51)</f>
        <v>-1406.42902851594</v>
      </c>
      <c r="G58" s="22">
        <f t="shared" ref="G58:J58" si="29">IF(G56&lt;0,-G50*$E$51)</f>
        <v>-868.82063850373504</v>
      </c>
      <c r="H58" s="22">
        <f t="shared" si="29"/>
        <v>-888.93746931891997</v>
      </c>
      <c r="I58" s="22">
        <f t="shared" si="29"/>
        <v>-922.66117597979996</v>
      </c>
      <c r="J58" s="22">
        <f t="shared" si="29"/>
        <v>-955.651785817686</v>
      </c>
    </row>
    <row r="59" spans="2:12">
      <c r="B59" s="20" t="s">
        <v>37</v>
      </c>
      <c r="C59" s="16">
        <f>-C132/C117</f>
        <v>1.0794701986755</v>
      </c>
      <c r="D59" s="16">
        <f t="shared" ref="D59:E59" si="30">-D132/D117</f>
        <v>0.99333333333333296</v>
      </c>
      <c r="E59" s="16">
        <f t="shared" si="30"/>
        <v>0.89080459770114895</v>
      </c>
      <c r="F59" s="19">
        <f t="shared" ref="F59" si="31">AVERAGE(C59:E59)</f>
        <v>0.98786937656999296</v>
      </c>
      <c r="G59" s="16">
        <f t="shared" ref="G59" si="32">F59</f>
        <v>0.98786937656999296</v>
      </c>
      <c r="H59" s="16">
        <f t="shared" ref="H59" si="33">G59</f>
        <v>0.98786937656999296</v>
      </c>
      <c r="I59" s="16">
        <f t="shared" ref="I59" si="34">H59</f>
        <v>0.98786937656999296</v>
      </c>
      <c r="J59" s="16">
        <f t="shared" ref="J59" si="35">I59</f>
        <v>0.98786937656999296</v>
      </c>
    </row>
    <row r="60" spans="2:12">
      <c r="B60" s="20"/>
    </row>
    <row r="61" spans="2:12">
      <c r="B61" s="1" t="s">
        <v>38</v>
      </c>
      <c r="E61" s="16">
        <f>-E133/E129</f>
        <v>3.2000000000000001E-2</v>
      </c>
      <c r="F61" s="25">
        <v>0.02</v>
      </c>
      <c r="G61" s="17">
        <v>0.02</v>
      </c>
      <c r="H61" s="17">
        <v>0.02</v>
      </c>
      <c r="I61" s="17">
        <v>0.02</v>
      </c>
      <c r="J61" s="17">
        <v>0.02</v>
      </c>
    </row>
    <row r="62" spans="2:12">
      <c r="B62" s="20" t="s">
        <v>39</v>
      </c>
      <c r="C62" s="16">
        <f>C136/C68</f>
        <v>-1.52462265589267E-3</v>
      </c>
      <c r="D62" s="16">
        <f t="shared" ref="D62:E62" si="36">D136/D68</f>
        <v>4.6252743806835996E-3</v>
      </c>
      <c r="E62" s="16">
        <f t="shared" si="36"/>
        <v>-3.00741362428312E-3</v>
      </c>
      <c r="F62" s="19">
        <f t="shared" ref="F62" si="37">AVERAGE(C62:E62)</f>
        <v>3.1079366835938902E-5</v>
      </c>
      <c r="G62" s="16">
        <f t="shared" ref="G62" si="38">F62</f>
        <v>3.1079366835938902E-5</v>
      </c>
      <c r="H62" s="16">
        <f t="shared" ref="H62" si="39">G62</f>
        <v>3.1079366835938902E-5</v>
      </c>
      <c r="I62" s="16">
        <f t="shared" ref="I62" si="40">H62</f>
        <v>3.1079366835938902E-5</v>
      </c>
      <c r="J62" s="16">
        <f t="shared" ref="J62" si="41">I62</f>
        <v>3.1079366835938902E-5</v>
      </c>
    </row>
    <row r="63" spans="2:12">
      <c r="B63" s="20"/>
      <c r="C63" s="16"/>
      <c r="D63" s="16"/>
      <c r="E63" s="16"/>
      <c r="F63" s="19"/>
      <c r="G63" s="16"/>
      <c r="H63" s="16"/>
      <c r="I63" s="16"/>
      <c r="J63" s="16"/>
    </row>
    <row r="64" spans="2:12">
      <c r="B64" s="10" t="s">
        <v>40</v>
      </c>
      <c r="C64" s="27">
        <v>43830</v>
      </c>
      <c r="D64" s="27">
        <f>EOMONTH(C64,12)</f>
        <v>44196</v>
      </c>
      <c r="E64" s="27">
        <f>EOMONTH(D64,12)</f>
        <v>44561</v>
      </c>
      <c r="F64" s="27">
        <f t="shared" ref="F64:J64" si="42">EOMONTH(E64,12)</f>
        <v>44926</v>
      </c>
      <c r="G64" s="27">
        <f t="shared" si="42"/>
        <v>45291</v>
      </c>
      <c r="H64" s="27">
        <f t="shared" si="42"/>
        <v>45657</v>
      </c>
      <c r="I64" s="27">
        <f t="shared" si="42"/>
        <v>46022</v>
      </c>
      <c r="J64" s="27">
        <f t="shared" si="42"/>
        <v>46387</v>
      </c>
    </row>
    <row r="66" spans="1:10">
      <c r="B66" s="28" t="s">
        <v>41</v>
      </c>
      <c r="C66" s="14">
        <f>[1]operations!G$8</f>
        <v>5648</v>
      </c>
      <c r="D66" s="14">
        <f>[1]operations!J$8</f>
        <v>5371</v>
      </c>
      <c r="E66" s="14">
        <f>[1]operations!M$8</f>
        <v>6428</v>
      </c>
      <c r="F66" s="14">
        <f>F19*F16</f>
        <v>6749.4</v>
      </c>
      <c r="G66" s="14">
        <f t="shared" ref="G66:J66" si="43">G19*G16</f>
        <v>7165.6130000000003</v>
      </c>
      <c r="H66" s="14">
        <f t="shared" si="43"/>
        <v>7534.1302400000004</v>
      </c>
      <c r="I66" s="14">
        <f t="shared" si="43"/>
        <v>7878.0796639999999</v>
      </c>
      <c r="J66" s="14">
        <f t="shared" si="43"/>
        <v>8114.4220539199996</v>
      </c>
    </row>
    <row r="67" spans="1:10">
      <c r="B67" s="28" t="s">
        <v>42</v>
      </c>
      <c r="C67" s="29">
        <f>[1]operations!G9</f>
        <v>7470</v>
      </c>
      <c r="D67" s="29">
        <f>[1]operations!J9</f>
        <v>7385</v>
      </c>
      <c r="E67" s="29">
        <f>[1]operations!M9</f>
        <v>7870</v>
      </c>
      <c r="F67" s="29">
        <f>F21*F24</f>
        <v>8430.3439999999991</v>
      </c>
      <c r="G67" s="29">
        <f t="shared" ref="G67:J67" si="44">G21*G24</f>
        <v>8987.1682211999996</v>
      </c>
      <c r="H67" s="29">
        <f t="shared" si="44"/>
        <v>9580.7706822102591</v>
      </c>
      <c r="I67" s="29">
        <f t="shared" si="44"/>
        <v>10164.2396167569</v>
      </c>
      <c r="J67" s="29">
        <f t="shared" si="44"/>
        <v>10783.241809417401</v>
      </c>
    </row>
    <row r="68" spans="1:10">
      <c r="B68" s="30" t="s">
        <v>43</v>
      </c>
      <c r="C68" s="31">
        <f>C66+C67</f>
        <v>13118</v>
      </c>
      <c r="D68" s="31">
        <f t="shared" ref="D68:E68" si="45">D66+D67</f>
        <v>12756</v>
      </c>
      <c r="E68" s="31">
        <f t="shared" si="45"/>
        <v>14298</v>
      </c>
      <c r="F68" s="31">
        <f>SUM(F66:F67)</f>
        <v>15179.744000000001</v>
      </c>
      <c r="G68" s="31">
        <f t="shared" ref="G68:J68" si="46">SUM(G66:G67)</f>
        <v>16152.781221200001</v>
      </c>
      <c r="H68" s="31">
        <f t="shared" si="46"/>
        <v>17114.900922210301</v>
      </c>
      <c r="I68" s="31">
        <f t="shared" si="46"/>
        <v>18042.319280756899</v>
      </c>
      <c r="J68" s="31">
        <f t="shared" si="46"/>
        <v>18897.663863337399</v>
      </c>
    </row>
    <row r="69" spans="1:10">
      <c r="F69" s="17"/>
      <c r="G69" s="17"/>
      <c r="H69" s="17"/>
      <c r="I69" s="17"/>
      <c r="J69" s="17"/>
    </row>
    <row r="70" spans="1:10">
      <c r="B70" s="28" t="s">
        <v>44</v>
      </c>
      <c r="C70" s="22">
        <f>-[1]operations!G12</f>
        <v>-4640</v>
      </c>
      <c r="D70" s="22">
        <f>-[1]operations!J12</f>
        <v>-4439</v>
      </c>
      <c r="E70" s="22">
        <f>-[1]operations!M12</f>
        <v>-5293</v>
      </c>
      <c r="F70" s="22">
        <f t="shared" ref="F70:J72" si="47">-F66*F27</f>
        <v>-5560.2322377862802</v>
      </c>
      <c r="G70" s="22">
        <f t="shared" si="47"/>
        <v>-5903.1132257831096</v>
      </c>
      <c r="H70" s="22">
        <f t="shared" si="47"/>
        <v>-6206.7019059662398</v>
      </c>
      <c r="I70" s="22">
        <f t="shared" si="47"/>
        <v>-6490.0513408038296</v>
      </c>
      <c r="J70" s="22">
        <f t="shared" si="47"/>
        <v>-6684.75288102794</v>
      </c>
    </row>
    <row r="71" spans="1:10">
      <c r="B71" s="28" t="s">
        <v>45</v>
      </c>
      <c r="C71" s="22">
        <f>-[1]operations!G13</f>
        <v>-4652</v>
      </c>
      <c r="D71" s="22">
        <f>-[1]operations!J13</f>
        <v>-4538</v>
      </c>
      <c r="E71" s="22">
        <f>-[1]operations!M13</f>
        <v>-4812</v>
      </c>
      <c r="F71" s="22">
        <f t="shared" si="47"/>
        <v>-5195.00940945396</v>
      </c>
      <c r="G71" s="22">
        <f t="shared" si="47"/>
        <v>-5538.1397809483997</v>
      </c>
      <c r="H71" s="22">
        <f t="shared" si="47"/>
        <v>-5903.9339134800402</v>
      </c>
      <c r="I71" s="22">
        <f t="shared" si="47"/>
        <v>-6263.4834888109699</v>
      </c>
      <c r="J71" s="22">
        <f t="shared" si="47"/>
        <v>-6644.9296332795602</v>
      </c>
    </row>
    <row r="72" spans="1:10">
      <c r="B72" s="32" t="s">
        <v>46</v>
      </c>
      <c r="C72" s="22">
        <f>-SUM([1]operations!G14:G15)</f>
        <v>-1973</v>
      </c>
      <c r="D72" s="22">
        <f>-SUM([1]operations!J14:J15)</f>
        <v>-2076</v>
      </c>
      <c r="E72" s="22">
        <f>-SUM([1]operations!M14:M15)</f>
        <v>-2107</v>
      </c>
      <c r="F72" s="22">
        <f t="shared" si="47"/>
        <v>-2330.16273294242</v>
      </c>
      <c r="G72" s="22">
        <f t="shared" si="47"/>
        <v>-2479.5285635260002</v>
      </c>
      <c r="H72" s="22">
        <f t="shared" si="47"/>
        <v>-2627.2185029560601</v>
      </c>
      <c r="I72" s="22">
        <f t="shared" si="47"/>
        <v>-2769.58162165766</v>
      </c>
      <c r="J72" s="22">
        <f t="shared" si="47"/>
        <v>-2900.88107375338</v>
      </c>
    </row>
    <row r="73" spans="1:10">
      <c r="B73" s="30" t="s">
        <v>47</v>
      </c>
      <c r="C73" s="33">
        <f>C68+SUM(C70:C72)</f>
        <v>1853</v>
      </c>
      <c r="D73" s="33">
        <f t="shared" ref="D73:F73" si="48">D68+SUM(D70:D72)</f>
        <v>1703</v>
      </c>
      <c r="E73" s="33">
        <f t="shared" si="48"/>
        <v>2086</v>
      </c>
      <c r="F73" s="33">
        <f t="shared" si="48"/>
        <v>2094.33961981734</v>
      </c>
      <c r="G73" s="33">
        <f t="shared" ref="G73:J73" si="49">G68+SUM(G70:G72)</f>
        <v>2231.9996509425</v>
      </c>
      <c r="H73" s="33">
        <f t="shared" si="49"/>
        <v>2377.0465998079299</v>
      </c>
      <c r="I73" s="33">
        <f t="shared" si="49"/>
        <v>2519.2028294844099</v>
      </c>
      <c r="J73" s="33">
        <f t="shared" si="49"/>
        <v>2667.1002752764898</v>
      </c>
    </row>
    <row r="75" spans="1:10">
      <c r="A75" s="15"/>
      <c r="B75" s="28" t="s">
        <v>48</v>
      </c>
      <c r="C75" s="22">
        <f>[1]operations!G17</f>
        <v>-39</v>
      </c>
      <c r="D75" s="22">
        <f>[1]operations!J17</f>
        <v>-64</v>
      </c>
      <c r="E75" s="22">
        <f>[1]operations!M17</f>
        <v>22</v>
      </c>
      <c r="F75" s="22">
        <f>E75</f>
        <v>22</v>
      </c>
      <c r="G75" s="22">
        <f t="shared" ref="G75:J75" si="50">F75</f>
        <v>22</v>
      </c>
      <c r="H75" s="22">
        <f t="shared" si="50"/>
        <v>22</v>
      </c>
      <c r="I75" s="22">
        <f t="shared" si="50"/>
        <v>22</v>
      </c>
      <c r="J75" s="22">
        <f t="shared" si="50"/>
        <v>22</v>
      </c>
    </row>
    <row r="76" spans="1:10">
      <c r="A76" s="15"/>
      <c r="B76" s="28" t="s">
        <v>49</v>
      </c>
      <c r="C76" s="34">
        <f>-[1]operations!G19</f>
        <v>33</v>
      </c>
      <c r="D76" s="22">
        <f>-[1]operations!J19</f>
        <v>-6</v>
      </c>
      <c r="E76" s="22">
        <f>-[1]operations!M19</f>
        <v>-11</v>
      </c>
      <c r="F76" s="22">
        <f>E76</f>
        <v>-11</v>
      </c>
      <c r="G76" s="22">
        <f t="shared" ref="G76:J76" si="51">F76</f>
        <v>-11</v>
      </c>
      <c r="H76" s="22">
        <f t="shared" si="51"/>
        <v>-11</v>
      </c>
      <c r="I76" s="22">
        <f t="shared" si="51"/>
        <v>-11</v>
      </c>
      <c r="J76" s="22">
        <f t="shared" si="51"/>
        <v>-11</v>
      </c>
    </row>
    <row r="77" spans="1:10">
      <c r="A77" s="15"/>
      <c r="B77" s="28" t="s">
        <v>50</v>
      </c>
      <c r="C77" s="34">
        <f>-[1]operations!G20</f>
        <v>14</v>
      </c>
      <c r="D77" s="22">
        <f>-[1]operations!J20</f>
        <v>-122</v>
      </c>
      <c r="E77" s="22">
        <f>-[1]operations!M20</f>
        <v>-136</v>
      </c>
      <c r="F77" s="22">
        <f>-F54*E101</f>
        <v>-181.82499999999999</v>
      </c>
      <c r="G77" s="22">
        <f>-G54*F101</f>
        <v>-210.74419926079801</v>
      </c>
      <c r="H77" s="22">
        <f>-H54*G101</f>
        <v>-206.144560586366</v>
      </c>
      <c r="I77" s="22">
        <f>-I54*H101</f>
        <v>-235.011491216732</v>
      </c>
      <c r="J77" s="22">
        <f>-J54*I101</f>
        <v>-229.31270160038599</v>
      </c>
    </row>
    <row r="78" spans="1:10">
      <c r="B78" s="30" t="s">
        <v>51</v>
      </c>
      <c r="C78" s="33">
        <f>C73+SUM(C75:C77)</f>
        <v>1861</v>
      </c>
      <c r="D78" s="33">
        <f t="shared" ref="D78:F78" si="52">D73+SUM(D75:D77)</f>
        <v>1511</v>
      </c>
      <c r="E78" s="33">
        <f t="shared" si="52"/>
        <v>1961</v>
      </c>
      <c r="F78" s="33">
        <f t="shared" si="52"/>
        <v>1923.51461981734</v>
      </c>
      <c r="G78" s="33">
        <f t="shared" ref="G78:J78" si="53">G73+SUM(G75:G77)</f>
        <v>2032.2554516816999</v>
      </c>
      <c r="H78" s="33">
        <f t="shared" si="53"/>
        <v>2181.9020392215598</v>
      </c>
      <c r="I78" s="33">
        <f t="shared" si="53"/>
        <v>2295.1913382676798</v>
      </c>
      <c r="J78" s="33">
        <f t="shared" si="53"/>
        <v>2448.7875736760998</v>
      </c>
    </row>
    <row r="80" spans="1:10">
      <c r="B80" s="1" t="s">
        <v>52</v>
      </c>
      <c r="C80" s="22">
        <f>-[1]operations!G22</f>
        <v>-594</v>
      </c>
      <c r="D80" s="22">
        <f>-[1]operations!J22</f>
        <v>-455</v>
      </c>
      <c r="E80" s="22">
        <f>-[1]operations!M22</f>
        <v>-541</v>
      </c>
      <c r="F80" s="22">
        <f>-F78*F31</f>
        <v>-574.61022130300103</v>
      </c>
      <c r="G80" s="22">
        <f>-G78*G31</f>
        <v>-607.09429645299394</v>
      </c>
      <c r="H80" s="22">
        <f>-H78*H31</f>
        <v>-651.79812032706695</v>
      </c>
      <c r="I80" s="22">
        <f>-I78*I31</f>
        <v>-685.64095600165695</v>
      </c>
      <c r="J80" s="22">
        <f>-J78*J31</f>
        <v>-731.524655511942</v>
      </c>
    </row>
    <row r="81" spans="2:10">
      <c r="C81" s="22"/>
      <c r="D81" s="22"/>
      <c r="E81" s="22"/>
    </row>
    <row r="82" spans="2:10">
      <c r="B82" s="35" t="s">
        <v>53</v>
      </c>
      <c r="C82" s="36">
        <f>C78+C80</f>
        <v>1267</v>
      </c>
      <c r="D82" s="36">
        <f t="shared" ref="D82:F82" si="54">D78+D80</f>
        <v>1056</v>
      </c>
      <c r="E82" s="36">
        <f t="shared" si="54"/>
        <v>1420</v>
      </c>
      <c r="F82" s="36">
        <f t="shared" si="54"/>
        <v>1348.9043985143401</v>
      </c>
      <c r="G82" s="36">
        <f t="shared" ref="G82:J82" si="55">G78+G80</f>
        <v>1425.16115522871</v>
      </c>
      <c r="H82" s="36">
        <f t="shared" si="55"/>
        <v>1530.1039188945001</v>
      </c>
      <c r="I82" s="36">
        <f t="shared" si="55"/>
        <v>1609.5503822660201</v>
      </c>
      <c r="J82" s="36">
        <f t="shared" si="55"/>
        <v>1717.2629181641601</v>
      </c>
    </row>
    <row r="83" spans="2:10">
      <c r="B83" s="28" t="s">
        <v>54</v>
      </c>
      <c r="C83" s="22">
        <f>-[1]operations!G24</f>
        <v>-151</v>
      </c>
      <c r="D83" s="22">
        <f>-[1]operations!J24</f>
        <v>-150</v>
      </c>
      <c r="E83" s="22">
        <f>-[1]operations!M24</f>
        <v>-174</v>
      </c>
      <c r="F83" s="22">
        <f>-F82*F32</f>
        <v>-172.55177385633701</v>
      </c>
      <c r="G83" s="22">
        <f>-G82*G32</f>
        <v>-182.306533833462</v>
      </c>
      <c r="H83" s="22">
        <f>-H82*H32</f>
        <v>-195.73080618653799</v>
      </c>
      <c r="I83" s="22">
        <f>-I82*I32</f>
        <v>-205.89359325763601</v>
      </c>
      <c r="J83" s="22">
        <f>-J82*J32</f>
        <v>-219.67217471697299</v>
      </c>
    </row>
    <row r="84" spans="2:10">
      <c r="B84" s="37" t="s">
        <v>55</v>
      </c>
      <c r="C84" s="38">
        <f>C82+C83</f>
        <v>1116</v>
      </c>
      <c r="D84" s="38">
        <f t="shared" ref="D84:F84" si="56">D82+D83</f>
        <v>906</v>
      </c>
      <c r="E84" s="38">
        <f t="shared" si="56"/>
        <v>1246</v>
      </c>
      <c r="F84" s="38">
        <f t="shared" si="56"/>
        <v>1176.352624658</v>
      </c>
      <c r="G84" s="38">
        <f t="shared" ref="G84:J84" si="57">G82+G83</f>
        <v>1242.85462139525</v>
      </c>
      <c r="H84" s="38">
        <f t="shared" si="57"/>
        <v>1334.37311270796</v>
      </c>
      <c r="I84" s="38">
        <f t="shared" si="57"/>
        <v>1403.65678900839</v>
      </c>
      <c r="J84" s="38">
        <f t="shared" si="57"/>
        <v>1497.5907434471801</v>
      </c>
    </row>
    <row r="86" spans="2:10">
      <c r="B86" s="39" t="s">
        <v>56</v>
      </c>
      <c r="C86" s="27">
        <v>43830</v>
      </c>
      <c r="D86" s="27">
        <f>EOMONTH(C86,12)</f>
        <v>44196</v>
      </c>
      <c r="E86" s="27">
        <f>EOMONTH(D86,12)</f>
        <v>44561</v>
      </c>
      <c r="F86" s="27">
        <f>$F$64</f>
        <v>44926</v>
      </c>
      <c r="G86" s="27">
        <f>$G$64</f>
        <v>45291</v>
      </c>
      <c r="H86" s="27">
        <f>$H$64</f>
        <v>45657</v>
      </c>
      <c r="I86" s="27">
        <f>$I$64</f>
        <v>46022</v>
      </c>
      <c r="J86" s="27">
        <f>$J$64</f>
        <v>46387</v>
      </c>
    </row>
    <row r="88" spans="2:10">
      <c r="B88" s="20" t="s">
        <v>57</v>
      </c>
    </row>
    <row r="89" spans="2:10">
      <c r="B89" s="28" t="s">
        <v>58</v>
      </c>
      <c r="D89" s="40">
        <f>SUM('[1]consolidated balance sheets'!B7:B8)</f>
        <v>1799</v>
      </c>
      <c r="E89" s="40">
        <f>SUM('[1]consolidated balance sheets'!C7:C8)</f>
        <v>3475</v>
      </c>
      <c r="F89" s="40">
        <f>E89+F138</f>
        <v>3000</v>
      </c>
      <c r="G89" s="40">
        <f t="shared" ref="G89:J89" si="58">F89+G138</f>
        <v>3000</v>
      </c>
      <c r="H89" s="40">
        <f t="shared" si="58"/>
        <v>3000</v>
      </c>
      <c r="I89" s="40">
        <f t="shared" si="58"/>
        <v>3000</v>
      </c>
      <c r="J89" s="40">
        <f t="shared" si="58"/>
        <v>3000</v>
      </c>
    </row>
    <row r="90" spans="2:10">
      <c r="B90" s="28" t="s">
        <v>59</v>
      </c>
      <c r="D90" s="41">
        <f>'[1]consolidated balance sheets'!B9</f>
        <v>3148</v>
      </c>
      <c r="E90" s="41">
        <f>'[1]consolidated balance sheets'!C9</f>
        <v>3232</v>
      </c>
      <c r="F90" s="41">
        <f>F68*F34</f>
        <v>3588.73000897151</v>
      </c>
      <c r="G90" s="41">
        <f>G68*G34</f>
        <v>3818.7712979133198</v>
      </c>
      <c r="H90" s="41">
        <f>H68*H34</f>
        <v>4046.2315135294898</v>
      </c>
      <c r="I90" s="41">
        <f>I68*I34</f>
        <v>4265.4877865066401</v>
      </c>
      <c r="J90" s="41">
        <f>J68*J34</f>
        <v>4467.7046863119303</v>
      </c>
    </row>
    <row r="91" spans="2:10">
      <c r="B91" s="28" t="s">
        <v>60</v>
      </c>
      <c r="D91" s="41">
        <f>SUM('[1]consolidated balance sheets'!B10:B12)</f>
        <v>1546</v>
      </c>
      <c r="E91" s="41">
        <f>SUM('[1]consolidated balance sheets'!C10:C12)</f>
        <v>1554</v>
      </c>
      <c r="F91" s="41">
        <f>-SUM(F70:F71)*F35</f>
        <v>1753.1213010536401</v>
      </c>
      <c r="G91" s="41">
        <f>-SUM(G70:G71)*G35</f>
        <v>1864.9422313994901</v>
      </c>
      <c r="H91" s="41">
        <f>-SUM(H70:H71)*H35</f>
        <v>1974.05268247249</v>
      </c>
      <c r="I91" s="41">
        <f>-SUM(I70:I71)*I35</f>
        <v>2078.8462320848198</v>
      </c>
      <c r="J91" s="41">
        <f>-SUM(J70:J71)*J35</f>
        <v>2172.7592106785401</v>
      </c>
    </row>
    <row r="92" spans="2:10">
      <c r="B92" s="28" t="s">
        <v>61</v>
      </c>
      <c r="D92" s="41">
        <f>SUM('[1]consolidated balance sheets'!B15+'[1]consolidated balance sheets'!B17+'[1]consolidated balance sheets'!B18)</f>
        <v>3031</v>
      </c>
      <c r="E92" s="41">
        <f>SUM('[1]consolidated balance sheets'!C15+'[1]consolidated balance sheets'!C17+'[1]consolidated balance sheets'!C18)</f>
        <v>2860</v>
      </c>
      <c r="F92" s="41">
        <f>E92-F124-F118</f>
        <v>2826.6935239519098</v>
      </c>
      <c r="G92" s="41">
        <f t="shared" ref="G92:J92" si="59">F92-G124-G118</f>
        <v>2791.25206849299</v>
      </c>
      <c r="H92" s="41">
        <f t="shared" si="59"/>
        <v>2753.6995881856101</v>
      </c>
      <c r="I92" s="41">
        <f t="shared" si="59"/>
        <v>2714.1122226163102</v>
      </c>
      <c r="J92" s="41">
        <f t="shared" si="59"/>
        <v>2672.64811170448</v>
      </c>
    </row>
    <row r="93" spans="2:10">
      <c r="B93" s="28" t="s">
        <v>62</v>
      </c>
      <c r="D93" s="41">
        <f>'[1]consolidated balance sheets'!B16</f>
        <v>542</v>
      </c>
      <c r="E93" s="41">
        <f>'[1]consolidated balance sheets'!C16</f>
        <v>526</v>
      </c>
      <c r="F93" s="41">
        <f>-F72*F36</f>
        <v>595.03389935550399</v>
      </c>
      <c r="G93" s="41">
        <f>-G72*G36</f>
        <v>633.17618501912705</v>
      </c>
      <c r="H93" s="41">
        <f>-H72*H36</f>
        <v>670.89051256897903</v>
      </c>
      <c r="I93" s="41">
        <f>-I72*I36</f>
        <v>707.24457507621605</v>
      </c>
      <c r="J93" s="41">
        <f>-J72*J36</f>
        <v>740.77340285259197</v>
      </c>
    </row>
    <row r="94" spans="2:10">
      <c r="B94" s="28" t="s">
        <v>63</v>
      </c>
      <c r="D94" s="41">
        <f>'[1]consolidated balance sheets'!B14+'[1]consolidated balance sheets'!B19</f>
        <v>644</v>
      </c>
      <c r="E94" s="41">
        <f>'[1]consolidated balance sheets'!C14+'[1]consolidated balance sheets'!C19</f>
        <v>632</v>
      </c>
      <c r="F94" s="41">
        <f>E94-F119-F125</f>
        <v>635.968892081739</v>
      </c>
      <c r="G94" s="41">
        <f t="shared" ref="G94:J94" si="60">F94-G119-G125</f>
        <v>635.38461700416701</v>
      </c>
      <c r="H94" s="41">
        <f t="shared" si="60"/>
        <v>630.29826150200097</v>
      </c>
      <c r="I94" s="41">
        <f t="shared" si="60"/>
        <v>620.87220478278596</v>
      </c>
      <c r="J94" s="41">
        <f t="shared" si="60"/>
        <v>607.44370419148902</v>
      </c>
    </row>
    <row r="95" spans="2:10">
      <c r="B95" s="42" t="s">
        <v>64</v>
      </c>
      <c r="C95" s="43"/>
      <c r="D95" s="44">
        <f>SUM(D89:D94)</f>
        <v>10710</v>
      </c>
      <c r="E95" s="44">
        <f>SUM(E89:E94)</f>
        <v>12279</v>
      </c>
      <c r="F95" s="44">
        <f>SUM(F89:F94)</f>
        <v>12399.5476254143</v>
      </c>
      <c r="G95" s="44">
        <f t="shared" ref="G95:J95" si="61">SUM(G89:G94)</f>
        <v>12743.526399829099</v>
      </c>
      <c r="H95" s="44">
        <f t="shared" si="61"/>
        <v>13075.1725582586</v>
      </c>
      <c r="I95" s="44">
        <f t="shared" si="61"/>
        <v>13386.563021066801</v>
      </c>
      <c r="J95" s="44">
        <f t="shared" si="61"/>
        <v>13661.329115738999</v>
      </c>
    </row>
    <row r="96" spans="2:10">
      <c r="F96" s="2"/>
    </row>
    <row r="97" spans="2:10">
      <c r="B97" s="20" t="s">
        <v>65</v>
      </c>
      <c r="F97" s="2"/>
    </row>
    <row r="98" spans="2:10">
      <c r="B98" s="28" t="s">
        <v>66</v>
      </c>
      <c r="D98" s="14">
        <f>'[1]consolidated balance sheets'!B23</f>
        <v>1453</v>
      </c>
      <c r="E98" s="14">
        <f>'[1]consolidated balance sheets'!C23</f>
        <v>1556</v>
      </c>
      <c r="F98" s="14">
        <f>-SUM(F70:F71)*F38</f>
        <v>1698.4745281825701</v>
      </c>
      <c r="G98" s="14">
        <f>-SUM(G70:G71)*G38</f>
        <v>1806.8098737151199</v>
      </c>
      <c r="H98" s="14">
        <f>-SUM(H70:H71)*H38</f>
        <v>1912.51922867796</v>
      </c>
      <c r="I98" s="14">
        <f>-SUM(I70:I71)*I38</f>
        <v>2014.0462448789599</v>
      </c>
      <c r="J98" s="14">
        <f>-SUM(J70:J71)*J38</f>
        <v>2105.0318497605599</v>
      </c>
    </row>
    <row r="99" spans="2:10">
      <c r="B99" s="28" t="s">
        <v>67</v>
      </c>
      <c r="D99" s="41">
        <f>'[1]consolidated balance sheets'!B24</f>
        <v>1977</v>
      </c>
      <c r="E99" s="41">
        <f>'[1]consolidated balance sheets'!C24</f>
        <v>1993</v>
      </c>
      <c r="F99" s="41">
        <f t="shared" ref="F99:J100" si="62">-SUM(F$70:F$72)*F39</f>
        <v>2238.0333333154699</v>
      </c>
      <c r="G99" s="41">
        <f t="shared" si="62"/>
        <v>2380.9102321074101</v>
      </c>
      <c r="H99" s="41">
        <f t="shared" si="62"/>
        <v>2520.6564716514699</v>
      </c>
      <c r="I99" s="41">
        <f t="shared" si="62"/>
        <v>2654.96205126835</v>
      </c>
      <c r="J99" s="41">
        <f t="shared" si="62"/>
        <v>2775.9587150083598</v>
      </c>
    </row>
    <row r="100" spans="2:10">
      <c r="B100" s="28" t="s">
        <v>68</v>
      </c>
      <c r="D100" s="41">
        <f>'[1]consolidated balance sheets'!B25</f>
        <v>2542</v>
      </c>
      <c r="E100" s="41">
        <f>'[1]consolidated balance sheets'!C25</f>
        <v>2674</v>
      </c>
      <c r="F100" s="41">
        <f t="shared" si="62"/>
        <v>2937.3315096162301</v>
      </c>
      <c r="G100" s="41">
        <f t="shared" si="62"/>
        <v>3124.85186982288</v>
      </c>
      <c r="H100" s="41">
        <f t="shared" si="62"/>
        <v>3308.2633618023401</v>
      </c>
      <c r="I100" s="41">
        <f t="shared" si="62"/>
        <v>3484.5341997087098</v>
      </c>
      <c r="J100" s="41">
        <f t="shared" si="62"/>
        <v>3643.3376043190801</v>
      </c>
    </row>
    <row r="101" spans="2:10">
      <c r="B101" s="28" t="s">
        <v>69</v>
      </c>
      <c r="D101" s="41">
        <f>'[1]consolidated balance sheets'!B22+'[1]consolidated balance sheets'!B28</f>
        <v>5963</v>
      </c>
      <c r="E101" s="41">
        <f>'[1]consolidated balance sheets'!C22+'[1]consolidated balance sheets'!C28</f>
        <v>7273</v>
      </c>
      <c r="F101" s="41">
        <f>E101+F129</f>
        <v>7024.8066420265995</v>
      </c>
      <c r="G101" s="41">
        <f t="shared" ref="G101:J101" si="63">F101+G129</f>
        <v>6871.4853528788799</v>
      </c>
      <c r="H101" s="41">
        <f t="shared" si="63"/>
        <v>6714.6140347637802</v>
      </c>
      <c r="I101" s="41">
        <f t="shared" si="63"/>
        <v>6551.7914742967496</v>
      </c>
      <c r="J101" s="41">
        <f t="shared" si="63"/>
        <v>6383.1470415054</v>
      </c>
    </row>
    <row r="102" spans="2:10">
      <c r="B102" s="28" t="s">
        <v>70</v>
      </c>
      <c r="D102" s="41">
        <f>'[1]consolidated balance sheets'!B30</f>
        <v>367</v>
      </c>
      <c r="E102" s="41">
        <f>'[1]consolidated balance sheets'!C30</f>
        <v>336</v>
      </c>
      <c r="F102" s="41">
        <f>E102+(F93-E93)</f>
        <v>405.03389935550399</v>
      </c>
      <c r="G102" s="41">
        <f t="shared" ref="G102:J102" si="64">F102+(G93-F93)</f>
        <v>443.17618501912699</v>
      </c>
      <c r="H102" s="41">
        <f t="shared" si="64"/>
        <v>480.89051256897898</v>
      </c>
      <c r="I102" s="41">
        <f t="shared" si="64"/>
        <v>517.24457507621605</v>
      </c>
      <c r="J102" s="41">
        <f t="shared" si="64"/>
        <v>550.77340285259197</v>
      </c>
    </row>
    <row r="103" spans="2:10">
      <c r="B103" s="28" t="s">
        <v>71</v>
      </c>
      <c r="D103" s="41">
        <f>'[1]consolidated balance sheets'!B29+'[1]consolidated balance sheets'!B31+'[1]consolidated balance sheets'!B32</f>
        <v>1609</v>
      </c>
      <c r="E103" s="41">
        <f>'[1]consolidated balance sheets'!C29+'[1]consolidated balance sheets'!C31+'[1]consolidated balance sheets'!C32</f>
        <v>1431</v>
      </c>
      <c r="F103" s="41">
        <f>-SUM(F70:F72)*F41</f>
        <v>1719.1025979830799</v>
      </c>
      <c r="G103" s="41">
        <f>-SUM(G70:G72)*G41</f>
        <v>1828.8507613587899</v>
      </c>
      <c r="H103" s="41">
        <f>-SUM(H70:H72)*H41</f>
        <v>1936.1941685736699</v>
      </c>
      <c r="I103" s="41">
        <f>-SUM(I70:I72)*I41</f>
        <v>2039.3584366862301</v>
      </c>
      <c r="J103" s="41">
        <f>-SUM(J70:J72)*J41</f>
        <v>2132.2997150337701</v>
      </c>
    </row>
    <row r="104" spans="2:10">
      <c r="B104" s="42" t="s">
        <v>72</v>
      </c>
      <c r="C104" s="43"/>
      <c r="D104" s="45">
        <f>SUM(D98:D103)</f>
        <v>13911</v>
      </c>
      <c r="E104" s="45">
        <f>SUM(E98:E103)</f>
        <v>15263</v>
      </c>
      <c r="F104" s="45">
        <f>SUM(F98:F103)</f>
        <v>16022.782510479499</v>
      </c>
      <c r="G104" s="45">
        <f t="shared" ref="G104:J104" si="65">SUM(G98:G103)</f>
        <v>16456.084274902201</v>
      </c>
      <c r="H104" s="45">
        <f t="shared" si="65"/>
        <v>16873.137778038199</v>
      </c>
      <c r="I104" s="45">
        <f t="shared" si="65"/>
        <v>17261.936981915202</v>
      </c>
      <c r="J104" s="45">
        <f t="shared" si="65"/>
        <v>17590.548328479799</v>
      </c>
    </row>
    <row r="106" spans="2:10">
      <c r="B106" s="28" t="s">
        <v>73</v>
      </c>
      <c r="D106" s="46">
        <f>'[1]consolidated balance sheets'!B43</f>
        <v>-3862</v>
      </c>
      <c r="E106" s="46">
        <f>'[1]consolidated balance sheets'!C43</f>
        <v>-3625</v>
      </c>
      <c r="F106" s="46">
        <f>E106+F116+F130+F131+F133+F136</f>
        <v>-4266.3280456559896</v>
      </c>
      <c r="G106" s="46">
        <f t="shared" ref="G106:J106" si="66">F106+G116+G130+G131+G133+G136</f>
        <v>-4357.8625275746999</v>
      </c>
      <c r="H106" s="46">
        <f t="shared" si="66"/>
        <v>-4445.6442089847296</v>
      </c>
      <c r="I106" s="46">
        <f t="shared" si="66"/>
        <v>-4525.5505677000001</v>
      </c>
      <c r="J106" s="46">
        <f t="shared" si="66"/>
        <v>-4582.06058002182</v>
      </c>
    </row>
    <row r="107" spans="2:10">
      <c r="B107" s="28" t="s">
        <v>74</v>
      </c>
      <c r="D107" s="46">
        <f>'[1]consolidated balance sheets'!B35+'[1]consolidated balance sheets'!B44</f>
        <v>661</v>
      </c>
      <c r="E107" s="46">
        <f>'[1]consolidated balance sheets'!C35+'[1]consolidated balance sheets'!C44</f>
        <v>641</v>
      </c>
      <c r="F107" s="22">
        <f>E107+F117+F132</f>
        <v>643.09316059083096</v>
      </c>
      <c r="G107" s="22">
        <f t="shared" ref="G107:J107" si="67">F107+G117+G132</f>
        <v>645.304652501595</v>
      </c>
      <c r="H107" s="22">
        <f t="shared" si="67"/>
        <v>647.67898920509504</v>
      </c>
      <c r="I107" s="22">
        <f t="shared" si="67"/>
        <v>650.17660685155397</v>
      </c>
      <c r="J107" s="22">
        <f t="shared" si="67"/>
        <v>652.84136728109695</v>
      </c>
    </row>
    <row r="108" spans="2:10">
      <c r="B108" s="42" t="s">
        <v>75</v>
      </c>
      <c r="C108" s="43"/>
      <c r="D108" s="47">
        <f>SUM(D106:D107)</f>
        <v>-3201</v>
      </c>
      <c r="E108" s="47">
        <f>SUM(E106:E107)</f>
        <v>-2984</v>
      </c>
      <c r="F108" s="47">
        <f>SUM(F106:F107)</f>
        <v>-3623.2348850651601</v>
      </c>
      <c r="G108" s="47">
        <f t="shared" ref="G108:J108" si="68">SUM(G106:G107)</f>
        <v>-3712.5578750731102</v>
      </c>
      <c r="H108" s="47">
        <f t="shared" si="68"/>
        <v>-3797.9652197796299</v>
      </c>
      <c r="I108" s="47">
        <f t="shared" si="68"/>
        <v>-3875.3739608484402</v>
      </c>
      <c r="J108" s="47">
        <f t="shared" si="68"/>
        <v>-3929.2192127407202</v>
      </c>
    </row>
    <row r="110" spans="2:10">
      <c r="B110" s="20" t="s">
        <v>76</v>
      </c>
      <c r="D110" s="48">
        <f>SUM(D104+D108)</f>
        <v>10710</v>
      </c>
      <c r="E110" s="48">
        <f>SUM(E104+E108)</f>
        <v>12279</v>
      </c>
      <c r="F110" s="48">
        <f>SUM(F104+F108)</f>
        <v>12399.5476254143</v>
      </c>
      <c r="G110" s="48">
        <f t="shared" ref="G110:J110" si="69">SUM(G104+G108)</f>
        <v>12743.526399829099</v>
      </c>
      <c r="H110" s="48">
        <f t="shared" si="69"/>
        <v>13075.1725582586</v>
      </c>
      <c r="I110" s="48">
        <f t="shared" si="69"/>
        <v>13386.563021066801</v>
      </c>
      <c r="J110" s="48">
        <f t="shared" si="69"/>
        <v>13661.329115738999</v>
      </c>
    </row>
    <row r="112" spans="2:10">
      <c r="B112" s="1" t="s">
        <v>77</v>
      </c>
      <c r="D112" s="14">
        <f>D95-D110</f>
        <v>0</v>
      </c>
      <c r="E112" s="14">
        <f>E95-E110</f>
        <v>0</v>
      </c>
      <c r="F112" s="14">
        <f>F95-F110</f>
        <v>0</v>
      </c>
      <c r="G112" s="14">
        <f t="shared" ref="G112:J112" si="70">G95-G110</f>
        <v>0</v>
      </c>
      <c r="H112" s="14">
        <f t="shared" si="70"/>
        <v>0</v>
      </c>
      <c r="I112" s="14">
        <f t="shared" si="70"/>
        <v>0</v>
      </c>
      <c r="J112" s="14">
        <f t="shared" si="70"/>
        <v>0</v>
      </c>
    </row>
    <row r="114" spans="2:10">
      <c r="B114" s="39" t="s">
        <v>78</v>
      </c>
      <c r="C114" s="27">
        <v>43830</v>
      </c>
      <c r="D114" s="27">
        <f>EOMONTH(C114,12)</f>
        <v>44196</v>
      </c>
      <c r="E114" s="27">
        <f>EOMONTH(D114,12)</f>
        <v>44561</v>
      </c>
      <c r="F114" s="27">
        <f>$F$64</f>
        <v>44926</v>
      </c>
      <c r="G114" s="27">
        <f>$G$64</f>
        <v>45291</v>
      </c>
      <c r="H114" s="27">
        <f>$H$64</f>
        <v>45657</v>
      </c>
      <c r="I114" s="27">
        <f>$I$64</f>
        <v>46022</v>
      </c>
      <c r="J114" s="27">
        <f>$J$64</f>
        <v>46387</v>
      </c>
    </row>
    <row r="115" spans="2:10">
      <c r="B115" s="42" t="s">
        <v>79</v>
      </c>
      <c r="C115" s="43"/>
      <c r="D115" s="43"/>
      <c r="E115" s="49"/>
      <c r="F115" s="43"/>
      <c r="G115" s="43"/>
      <c r="H115" s="43"/>
      <c r="I115" s="43"/>
      <c r="J115" s="43"/>
    </row>
    <row r="116" spans="2:10">
      <c r="B116" s="50" t="s">
        <v>55</v>
      </c>
      <c r="C116" s="51">
        <f>C84</f>
        <v>1116</v>
      </c>
      <c r="D116" s="51">
        <f>D84</f>
        <v>906</v>
      </c>
      <c r="E116" s="51">
        <f>E84</f>
        <v>1246</v>
      </c>
      <c r="F116" s="51">
        <f>F84</f>
        <v>1176.352624658</v>
      </c>
      <c r="G116" s="51">
        <f t="shared" ref="G116:J116" si="71">G84</f>
        <v>1242.85462139525</v>
      </c>
      <c r="H116" s="51">
        <f t="shared" si="71"/>
        <v>1334.37311270796</v>
      </c>
      <c r="I116" s="51">
        <f t="shared" si="71"/>
        <v>1403.65678900839</v>
      </c>
      <c r="J116" s="51">
        <f t="shared" si="71"/>
        <v>1497.5907434471801</v>
      </c>
    </row>
    <row r="117" spans="2:10">
      <c r="B117" s="28" t="s">
        <v>80</v>
      </c>
      <c r="C117" s="22">
        <f>-C83</f>
        <v>151</v>
      </c>
      <c r="D117" s="22">
        <f>-D83</f>
        <v>150</v>
      </c>
      <c r="E117" s="22">
        <f>-E83</f>
        <v>174</v>
      </c>
      <c r="F117" s="22">
        <f>-F83</f>
        <v>172.55177385633701</v>
      </c>
      <c r="G117" s="22">
        <f t="shared" ref="G117:J117" si="72">-G83</f>
        <v>182.306533833462</v>
      </c>
      <c r="H117" s="22">
        <f t="shared" si="72"/>
        <v>195.73080618653799</v>
      </c>
      <c r="I117" s="22">
        <f t="shared" si="72"/>
        <v>205.89359325763601</v>
      </c>
      <c r="J117" s="22">
        <f t="shared" si="72"/>
        <v>219.67217471697299</v>
      </c>
    </row>
    <row r="118" spans="2:10">
      <c r="B118" s="28" t="s">
        <v>81</v>
      </c>
      <c r="C118" s="41">
        <f>'[1]cash flows'!C9</f>
        <v>180</v>
      </c>
      <c r="D118" s="41">
        <f>'[1]cash flows'!D9</f>
        <v>191</v>
      </c>
      <c r="E118" s="41">
        <f>'[1]cash flows'!E9</f>
        <v>203</v>
      </c>
      <c r="F118" s="41">
        <f>F68*F44</f>
        <v>217.03360260120601</v>
      </c>
      <c r="G118" s="41">
        <f>G68*G44</f>
        <v>230.94568001055501</v>
      </c>
      <c r="H118" s="41">
        <f>H68*H44</f>
        <v>244.70166330275401</v>
      </c>
      <c r="I118" s="41">
        <f>I68*I44</f>
        <v>257.96150137866999</v>
      </c>
      <c r="J118" s="41">
        <f>J68*J44</f>
        <v>270.19085888449303</v>
      </c>
    </row>
    <row r="119" spans="2:10">
      <c r="B119" s="28" t="s">
        <v>82</v>
      </c>
      <c r="C119" s="41">
        <f>'[1]cash flows'!C10+'[1]cash flows'!C11+'[1]cash flows'!C12+'[1]cash flows'!C24+'[1]cash flows'!C25</f>
        <v>54</v>
      </c>
      <c r="D119" s="41">
        <f>'[1]cash flows'!D10+'[1]cash flows'!D11+'[1]cash flows'!D12+'[1]cash flows'!D24+'[1]cash flows'!D25</f>
        <v>156</v>
      </c>
      <c r="E119" s="41">
        <f>'[1]cash flows'!E10+'[1]cash flows'!E11+'[1]cash flows'!E12+'[1]cash flows'!E24+'[1]cash flows'!E25</f>
        <v>-33</v>
      </c>
      <c r="F119" s="41">
        <f>F68*F45</f>
        <v>71.031107918261199</v>
      </c>
      <c r="G119" s="41">
        <f>G68*G45</f>
        <v>75.584275077571803</v>
      </c>
      <c r="H119" s="41">
        <f>H68*H45</f>
        <v>80.086355502165603</v>
      </c>
      <c r="I119" s="41">
        <f>I68*I45</f>
        <v>84.426056719215197</v>
      </c>
      <c r="J119" s="41">
        <f>J68*J45</f>
        <v>88.428500591297293</v>
      </c>
    </row>
    <row r="120" spans="2:10">
      <c r="B120" s="28" t="s">
        <v>83</v>
      </c>
      <c r="C120" s="22">
        <f>SUM('[1]cash flows'!C16:C21)</f>
        <v>-32</v>
      </c>
      <c r="D120" s="1">
        <f>SUM('[1]cash flows'!D16:D21)</f>
        <v>77</v>
      </c>
      <c r="E120" s="22">
        <f>SUM('[1]cash flows'!E16:E21)</f>
        <v>160</v>
      </c>
      <c r="F120" s="22">
        <f>E90-F90+E91-F91+E93-F93+SUM(F98:F100)-SUM(E98:E100)+SUM(F102:F103)-SUM(E102:E103)</f>
        <v>383.09065907221299</v>
      </c>
      <c r="G120" s="22">
        <f t="shared" ref="G120:J120" si="73">F90-G90+F91-G91+F93-G93+SUM(G98:G100)-SUM(F98:F100)+SUM(G102:G103)-SUM(F102:F103)</f>
        <v>206.618548619168</v>
      </c>
      <c r="H120" s="22">
        <f t="shared" si="73"/>
        <v>199.639827012084</v>
      </c>
      <c r="I120" s="22">
        <f t="shared" si="73"/>
        <v>191.217879247312</v>
      </c>
      <c r="J120" s="22">
        <f t="shared" si="73"/>
        <v>167.59707318052199</v>
      </c>
    </row>
    <row r="121" spans="2:10">
      <c r="B121" s="42" t="s">
        <v>79</v>
      </c>
      <c r="C121" s="38">
        <f>SUM(C116:C120)</f>
        <v>1469</v>
      </c>
      <c r="D121" s="38">
        <f>SUM(D116:D120)</f>
        <v>1480</v>
      </c>
      <c r="E121" s="38">
        <f>SUM(E116:E120)</f>
        <v>1750</v>
      </c>
      <c r="F121" s="38">
        <f>SUM(F116:F120)</f>
        <v>2020.0597681060201</v>
      </c>
      <c r="G121" s="38">
        <f t="shared" ref="G121:J121" si="74">SUM(G116:G120)</f>
        <v>1938.309658936</v>
      </c>
      <c r="H121" s="38">
        <f t="shared" si="74"/>
        <v>2054.5317647114998</v>
      </c>
      <c r="I121" s="38">
        <f t="shared" si="74"/>
        <v>2143.1558196112201</v>
      </c>
      <c r="J121" s="38">
        <f t="shared" si="74"/>
        <v>2243.4793508204698</v>
      </c>
    </row>
    <row r="122" spans="2:10">
      <c r="C122" s="1" t="s">
        <v>84</v>
      </c>
      <c r="E122" s="1" t="s">
        <v>84</v>
      </c>
    </row>
    <row r="123" spans="2:10">
      <c r="B123" s="20" t="s">
        <v>85</v>
      </c>
      <c r="E123" s="1"/>
    </row>
    <row r="124" spans="2:10">
      <c r="B124" s="28" t="s">
        <v>86</v>
      </c>
      <c r="C124" s="22">
        <f>'[1]cash flows'!C29</f>
        <v>-145</v>
      </c>
      <c r="D124" s="22">
        <f>'[1]cash flows'!D29</f>
        <v>-183</v>
      </c>
      <c r="E124" s="22">
        <f>'[1]cash flows'!E29</f>
        <v>-156</v>
      </c>
      <c r="F124" s="22">
        <f>-F68*F43</f>
        <v>-183.72712655311801</v>
      </c>
      <c r="G124" s="22">
        <f>-G68*G43</f>
        <v>-195.50422455162899</v>
      </c>
      <c r="H124" s="22">
        <f>-H68*H43</f>
        <v>-207.14918299537899</v>
      </c>
      <c r="I124" s="22">
        <f>-I68*I43</f>
        <v>-218.37413580936399</v>
      </c>
      <c r="J124" s="22">
        <f>-J68*J43</f>
        <v>-228.72674797267101</v>
      </c>
    </row>
    <row r="125" spans="2:10">
      <c r="B125" s="28" t="s">
        <v>28</v>
      </c>
      <c r="C125" s="22">
        <f>SUM('[1]cash flows'!C30:C33)</f>
        <v>-58</v>
      </c>
      <c r="D125" s="22">
        <f>SUM('[1]cash flows'!D30:D33)</f>
        <v>-170</v>
      </c>
      <c r="E125" s="22">
        <f>SUM('[1]cash flows'!E30:E33)</f>
        <v>67</v>
      </c>
      <c r="F125" s="22">
        <f>F47</f>
        <v>-75</v>
      </c>
      <c r="G125" s="22">
        <f t="shared" ref="G125:J125" si="75">G47</f>
        <v>-75</v>
      </c>
      <c r="H125" s="22">
        <f t="shared" si="75"/>
        <v>-75</v>
      </c>
      <c r="I125" s="22">
        <f t="shared" si="75"/>
        <v>-75</v>
      </c>
      <c r="J125" s="22">
        <f t="shared" si="75"/>
        <v>-75</v>
      </c>
    </row>
    <row r="126" spans="2:10">
      <c r="B126" s="42" t="s">
        <v>85</v>
      </c>
      <c r="C126" s="52">
        <f>C124+C125</f>
        <v>-203</v>
      </c>
      <c r="D126" s="52">
        <f t="shared" ref="D126:E126" si="76">D124+D125</f>
        <v>-353</v>
      </c>
      <c r="E126" s="52">
        <f t="shared" si="76"/>
        <v>-89</v>
      </c>
      <c r="F126" s="52">
        <f>SUM(F124:F125)</f>
        <v>-258.72712655311801</v>
      </c>
      <c r="G126" s="52">
        <f t="shared" ref="G126:J126" si="77">SUM(G124:G125)</f>
        <v>-270.50422455162902</v>
      </c>
      <c r="H126" s="52">
        <f t="shared" si="77"/>
        <v>-282.14918299537902</v>
      </c>
      <c r="I126" s="52">
        <f t="shared" si="77"/>
        <v>-293.37413580936402</v>
      </c>
      <c r="J126" s="52">
        <f t="shared" si="77"/>
        <v>-303.72674797267098</v>
      </c>
    </row>
    <row r="127" spans="2:10">
      <c r="E127" s="1"/>
    </row>
    <row r="128" spans="2:10">
      <c r="B128" s="20" t="s">
        <v>87</v>
      </c>
      <c r="E128" s="1"/>
    </row>
    <row r="129" spans="2:10">
      <c r="B129" s="28" t="s">
        <v>88</v>
      </c>
      <c r="C129" s="22">
        <f>SUM('[1]cash flows'!C37:C40,'[1]cash flows'!C42)</f>
        <v>6</v>
      </c>
      <c r="D129" s="1">
        <f>SUM('[1]cash flows'!D37:D40,'[1]cash flows'!D42)</f>
        <v>5947</v>
      </c>
      <c r="E129" s="22">
        <f>SUM('[1]cash flows'!E37:E40,'[1]cash flows'!E42)</f>
        <v>1375</v>
      </c>
      <c r="F129" s="22">
        <f>F56</f>
        <v>-248.19335797340199</v>
      </c>
      <c r="G129" s="22">
        <f t="shared" ref="G129:J129" si="78">G56</f>
        <v>-153.32128914771801</v>
      </c>
      <c r="H129" s="22">
        <f t="shared" si="78"/>
        <v>-156.871318115104</v>
      </c>
      <c r="I129" s="22">
        <f t="shared" si="78"/>
        <v>-162.822560467024</v>
      </c>
      <c r="J129" s="22">
        <f t="shared" si="78"/>
        <v>-168.644432791356</v>
      </c>
    </row>
    <row r="130" spans="2:10">
      <c r="B130" s="28" t="s">
        <v>89</v>
      </c>
      <c r="C130" s="1">
        <f>'[1]cash flows'!C44</f>
        <v>0</v>
      </c>
      <c r="D130" s="22">
        <f>'[1]cash flows'!D44</f>
        <v>-260</v>
      </c>
      <c r="E130" s="22">
        <f>'[1]cash flows'!E44</f>
        <v>-393</v>
      </c>
      <c r="F130" s="22">
        <f>-F84*F57</f>
        <v>-411.72341863029902</v>
      </c>
      <c r="G130" s="22">
        <f>-G84*G57</f>
        <v>-466.070483023218</v>
      </c>
      <c r="H130" s="22">
        <f>-H84*H57</f>
        <v>-533.74924508318395</v>
      </c>
      <c r="I130" s="22">
        <f>-I84*I57</f>
        <v>-561.46271560335401</v>
      </c>
      <c r="J130" s="22">
        <f>-J84*J57</f>
        <v>-599.03629737887297</v>
      </c>
    </row>
    <row r="131" spans="2:10">
      <c r="B131" s="28" t="s">
        <v>90</v>
      </c>
      <c r="C131" s="1">
        <f>'[1]cash flows'!C45</f>
        <v>0</v>
      </c>
      <c r="D131" s="1">
        <f>'[1]cash flows'!D45</f>
        <v>0</v>
      </c>
      <c r="E131" s="22">
        <f>'[1]cash flows'!E45</f>
        <v>-725</v>
      </c>
      <c r="F131" s="22">
        <f>F58</f>
        <v>-1406.42902851594</v>
      </c>
      <c r="G131" s="22">
        <f t="shared" ref="G131:J131" si="79">G58</f>
        <v>-868.82063850373504</v>
      </c>
      <c r="H131" s="22">
        <f t="shared" si="79"/>
        <v>-888.93746931891997</v>
      </c>
      <c r="I131" s="22">
        <f t="shared" si="79"/>
        <v>-922.66117597979996</v>
      </c>
      <c r="J131" s="22">
        <f t="shared" si="79"/>
        <v>-955.651785817686</v>
      </c>
    </row>
    <row r="132" spans="2:10">
      <c r="B132" s="28" t="s">
        <v>91</v>
      </c>
      <c r="C132" s="22">
        <f>'[1]cash flows'!C46</f>
        <v>-163</v>
      </c>
      <c r="D132" s="22">
        <f>'[1]cash flows'!D46</f>
        <v>-149</v>
      </c>
      <c r="E132" s="22">
        <f>'[1]cash flows'!E46</f>
        <v>-155</v>
      </c>
      <c r="F132" s="22">
        <f>-F117*F59</f>
        <v>-170.45861326550599</v>
      </c>
      <c r="G132" s="22">
        <f>-G117*G59</f>
        <v>-180.09504192269901</v>
      </c>
      <c r="H132" s="22">
        <f>-H117*H59</f>
        <v>-193.35646948303699</v>
      </c>
      <c r="I132" s="22">
        <f>-I117*I59</f>
        <v>-203.39597561117699</v>
      </c>
      <c r="J132" s="22">
        <f>-J117*J59</f>
        <v>-217.007414287431</v>
      </c>
    </row>
    <row r="133" spans="2:10">
      <c r="B133" s="28" t="s">
        <v>92</v>
      </c>
      <c r="C133" s="22">
        <f>SUM('[1]cash flows'!C41+'[1]cash flows'!C47+'[1]cash flows'!C48)</f>
        <v>-976</v>
      </c>
      <c r="D133" s="22">
        <f>SUM('[1]cash flows'!D41+'[1]cash flows'!D47+'[1]cash flows'!D48)</f>
        <v>-6382</v>
      </c>
      <c r="E133" s="22">
        <f>SUM('[1]cash flows'!E41+'[1]cash flows'!E47+'[1]cash flows'!E48)</f>
        <v>-44</v>
      </c>
      <c r="F133" s="22">
        <f>MAX(F129,0)*F61</f>
        <v>0</v>
      </c>
      <c r="G133" s="22">
        <f>MAX(G129,0)*G61</f>
        <v>0</v>
      </c>
      <c r="H133" s="22">
        <f>MAX(H129,0)*H61</f>
        <v>0</v>
      </c>
      <c r="I133" s="22">
        <f>MAX(I129,0)*I61</f>
        <v>0</v>
      </c>
      <c r="J133" s="22">
        <f>MAX(J129,0)*J61</f>
        <v>0</v>
      </c>
    </row>
    <row r="134" spans="2:10">
      <c r="B134" s="42" t="s">
        <v>87</v>
      </c>
      <c r="C134" s="52">
        <f>SUM(C129:C133)</f>
        <v>-1133</v>
      </c>
      <c r="D134" s="52">
        <f>SUM(D129:D133)</f>
        <v>-844</v>
      </c>
      <c r="E134" s="52">
        <f>SUM(E129:E133)</f>
        <v>58</v>
      </c>
      <c r="F134" s="52">
        <f>SUM(F129:F133)</f>
        <v>-2236.8044183851498</v>
      </c>
      <c r="G134" s="52">
        <f t="shared" ref="G134:J134" si="80">SUM(G129:G133)</f>
        <v>-1668.30745259737</v>
      </c>
      <c r="H134" s="52">
        <f t="shared" si="80"/>
        <v>-1772.91450200024</v>
      </c>
      <c r="I134" s="52">
        <f t="shared" si="80"/>
        <v>-1850.34242766135</v>
      </c>
      <c r="J134" s="52">
        <f t="shared" si="80"/>
        <v>-1940.3399302753501</v>
      </c>
    </row>
    <row r="135" spans="2:10">
      <c r="E135" s="1"/>
    </row>
    <row r="136" spans="2:10">
      <c r="B136" s="1" t="s">
        <v>93</v>
      </c>
      <c r="C136" s="22">
        <f>'[1]cash flows'!C52</f>
        <v>-20</v>
      </c>
      <c r="D136" s="1">
        <f>'[1]cash flows'!D52</f>
        <v>59</v>
      </c>
      <c r="E136" s="22">
        <f>'[1]cash flows'!E52</f>
        <v>-43</v>
      </c>
      <c r="F136" s="22">
        <f>F68*F62</f>
        <v>0.47177683225164302</v>
      </c>
      <c r="G136" s="22">
        <f>G68*G62</f>
        <v>0.50201821299434002</v>
      </c>
      <c r="H136" s="22">
        <f>H68*H62</f>
        <v>0.531920284122122</v>
      </c>
      <c r="I136" s="22">
        <f>I68*I62</f>
        <v>0.56074385949777605</v>
      </c>
      <c r="J136" s="22">
        <f>J68*J62</f>
        <v>0.58732742755092804</v>
      </c>
    </row>
    <row r="137" spans="2:10">
      <c r="E137" s="1"/>
    </row>
    <row r="138" spans="2:10">
      <c r="B138" s="20" t="s">
        <v>94</v>
      </c>
      <c r="C138" s="53">
        <f>C121+C126+C134+C136</f>
        <v>113</v>
      </c>
      <c r="D138" s="53">
        <f>D121+D126+D134+D136</f>
        <v>342</v>
      </c>
      <c r="E138" s="53">
        <f>E121+E126+E134+E136</f>
        <v>1676</v>
      </c>
      <c r="F138" s="53">
        <f>F121+F126+F134+F136</f>
        <v>-475</v>
      </c>
      <c r="G138" s="53">
        <f t="shared" ref="G138:J138" si="81">G121+G126+G134+G136</f>
        <v>-1.3122836151069401E-13</v>
      </c>
      <c r="H138" s="53">
        <f t="shared" si="81"/>
        <v>1.69864122767649E-13</v>
      </c>
      <c r="I138" s="53">
        <f t="shared" si="81"/>
        <v>-1.0944578576754799E-12</v>
      </c>
      <c r="J138" s="53">
        <f t="shared" si="81"/>
        <v>1.82998061148965E-12</v>
      </c>
    </row>
    <row r="140" spans="2:10">
      <c r="B140" s="54" t="s">
        <v>95</v>
      </c>
      <c r="C140" s="55"/>
      <c r="D140" s="56">
        <f>D95-(D104+D108)</f>
        <v>0</v>
      </c>
      <c r="E140" s="56">
        <f t="shared" ref="E140:J140" si="82">E95-(E104+E108)</f>
        <v>0</v>
      </c>
      <c r="F140" s="56">
        <f t="shared" si="82"/>
        <v>0</v>
      </c>
      <c r="G140" s="56">
        <f t="shared" si="82"/>
        <v>0</v>
      </c>
      <c r="H140" s="56">
        <f t="shared" si="82"/>
        <v>0</v>
      </c>
      <c r="I140" s="56">
        <f t="shared" si="82"/>
        <v>0</v>
      </c>
      <c r="J140" s="56">
        <f t="shared" si="82"/>
        <v>0</v>
      </c>
    </row>
  </sheetData>
  <mergeCells count="3">
    <mergeCell ref="C13:E13"/>
    <mergeCell ref="F13:J13"/>
    <mergeCell ref="B13:B14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2026-05-14T03:31:00Z</dcterms:created>
  <dcterms:modified xsi:type="dcterms:W3CDTF">2026-06-06T10:26:54Z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BEFF958CCB1942C7BF99E5AF02866DAF_12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